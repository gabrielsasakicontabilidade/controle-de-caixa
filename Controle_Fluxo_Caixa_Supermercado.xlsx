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bri\controle de fluxo de caixa\"/>
    </mc:Choice>
  </mc:AlternateContent>
  <bookViews>
    <workbookView xWindow="0" yWindow="0" windowWidth="23040" windowHeight="9264" firstSheet="1" activeTab="5"/>
  </bookViews>
  <sheets>
    <sheet name="Instrucoes" sheetId="1" r:id="rId1"/>
    <sheet name="Movimento_Caixa_Diario" sheetId="2" r:id="rId2"/>
    <sheet name="Contas_a_Pagar" sheetId="3" r:id="rId3"/>
    <sheet name="Contas_a_Receber" sheetId="4" r:id="rId4"/>
    <sheet name="Fluxo_Caixa_Projetado" sheetId="5" r:id="rId5"/>
    <sheet name="DRE_Gerencial" sheetId="6" r:id="rId6"/>
  </sheets>
  <calcPr calcId="152511"/>
</workbook>
</file>

<file path=xl/calcChain.xml><?xml version="1.0" encoding="utf-8"?>
<calcChain xmlns="http://schemas.openxmlformats.org/spreadsheetml/2006/main">
  <c r="M35" i="6" l="1"/>
  <c r="L35" i="6"/>
  <c r="K35" i="6"/>
  <c r="J35" i="6"/>
  <c r="I35" i="6"/>
  <c r="H35" i="6"/>
  <c r="G35" i="6"/>
  <c r="F35" i="6"/>
  <c r="E35" i="6"/>
  <c r="D35" i="6"/>
  <c r="C35" i="6"/>
  <c r="B35" i="6"/>
  <c r="N34" i="6"/>
  <c r="A29" i="6"/>
  <c r="N28" i="6"/>
  <c r="N27" i="6"/>
  <c r="A24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N21" i="6"/>
  <c r="N20" i="6"/>
  <c r="N19" i="6"/>
  <c r="N18" i="6"/>
  <c r="N17" i="6"/>
  <c r="M13" i="6"/>
  <c r="M24" i="6" s="1"/>
  <c r="E13" i="6"/>
  <c r="E24" i="6" s="1"/>
  <c r="A13" i="6"/>
  <c r="N12" i="6"/>
  <c r="M11" i="6"/>
  <c r="K11" i="6"/>
  <c r="K13" i="6" s="1"/>
  <c r="H11" i="6"/>
  <c r="H13" i="6" s="1"/>
  <c r="F11" i="6"/>
  <c r="F13" i="6" s="1"/>
  <c r="E11" i="6"/>
  <c r="C11" i="6"/>
  <c r="C13" i="6" s="1"/>
  <c r="A11" i="6"/>
  <c r="M10" i="6"/>
  <c r="L10" i="6"/>
  <c r="L11" i="6" s="1"/>
  <c r="L13" i="6" s="1"/>
  <c r="K10" i="6"/>
  <c r="J10" i="6"/>
  <c r="J11" i="6" s="1"/>
  <c r="J13" i="6" s="1"/>
  <c r="I10" i="6"/>
  <c r="I11" i="6" s="1"/>
  <c r="I13" i="6" s="1"/>
  <c r="H10" i="6"/>
  <c r="G10" i="6"/>
  <c r="G11" i="6" s="1"/>
  <c r="G13" i="6" s="1"/>
  <c r="F10" i="6"/>
  <c r="E10" i="6"/>
  <c r="D10" i="6"/>
  <c r="N10" i="6" s="1"/>
  <c r="C10" i="6"/>
  <c r="B10" i="6"/>
  <c r="B11" i="6" s="1"/>
  <c r="N9" i="6"/>
  <c r="N8" i="6"/>
  <c r="N35" i="6" s="1"/>
  <c r="M7" i="6"/>
  <c r="L7" i="6"/>
  <c r="J7" i="6"/>
  <c r="G7" i="6"/>
  <c r="E7" i="6"/>
  <c r="D7" i="6"/>
  <c r="B7" i="6"/>
  <c r="M6" i="6"/>
  <c r="L6" i="6"/>
  <c r="K6" i="6"/>
  <c r="K7" i="6" s="1"/>
  <c r="J6" i="6"/>
  <c r="I6" i="6"/>
  <c r="I7" i="6" s="1"/>
  <c r="H6" i="6"/>
  <c r="H7" i="6" s="1"/>
  <c r="G6" i="6"/>
  <c r="F6" i="6"/>
  <c r="F7" i="6" s="1"/>
  <c r="E6" i="6"/>
  <c r="D6" i="6"/>
  <c r="C6" i="6"/>
  <c r="C7" i="6" s="1"/>
  <c r="B6" i="6"/>
  <c r="N14" i="5"/>
  <c r="M11" i="5"/>
  <c r="E11" i="5"/>
  <c r="N10" i="5"/>
  <c r="M9" i="5"/>
  <c r="K9" i="5"/>
  <c r="K11" i="5" s="1"/>
  <c r="I9" i="5"/>
  <c r="I11" i="5" s="1"/>
  <c r="F9" i="5"/>
  <c r="F11" i="5" s="1"/>
  <c r="E9" i="5"/>
  <c r="C9" i="5"/>
  <c r="C11" i="5" s="1"/>
  <c r="N8" i="5"/>
  <c r="N6" i="5"/>
  <c r="L5" i="5"/>
  <c r="I5" i="5"/>
  <c r="G5" i="5"/>
  <c r="F5" i="5"/>
  <c r="D5" i="5"/>
  <c r="M4" i="5"/>
  <c r="M5" i="5" s="1"/>
  <c r="L4" i="5"/>
  <c r="L9" i="5" s="1"/>
  <c r="L11" i="5" s="1"/>
  <c r="K4" i="5"/>
  <c r="K5" i="5" s="1"/>
  <c r="J4" i="5"/>
  <c r="J9" i="5" s="1"/>
  <c r="J11" i="5" s="1"/>
  <c r="I4" i="5"/>
  <c r="I13" i="5" s="1"/>
  <c r="I15" i="5" s="1"/>
  <c r="H4" i="5"/>
  <c r="H9" i="5" s="1"/>
  <c r="H11" i="5" s="1"/>
  <c r="G4" i="5"/>
  <c r="G13" i="5" s="1"/>
  <c r="G15" i="5" s="1"/>
  <c r="F4" i="5"/>
  <c r="F13" i="5" s="1"/>
  <c r="F15" i="5" s="1"/>
  <c r="E4" i="5"/>
  <c r="E5" i="5" s="1"/>
  <c r="D4" i="5"/>
  <c r="D9" i="5" s="1"/>
  <c r="D11" i="5" s="1"/>
  <c r="C4" i="5"/>
  <c r="C5" i="5" s="1"/>
  <c r="B4" i="5"/>
  <c r="B9" i="5" s="1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E157" i="2"/>
  <c r="D157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7" i="2" l="1"/>
  <c r="F86" i="3"/>
  <c r="F87" i="3"/>
  <c r="H86" i="4"/>
  <c r="L14" i="6"/>
  <c r="L33" i="6" s="1"/>
  <c r="L24" i="6"/>
  <c r="B11" i="5"/>
  <c r="M29" i="6"/>
  <c r="M30" i="6" s="1"/>
  <c r="M25" i="6"/>
  <c r="C33" i="6"/>
  <c r="K33" i="6"/>
  <c r="I24" i="6"/>
  <c r="I14" i="6"/>
  <c r="I33" i="6" s="1"/>
  <c r="F24" i="6"/>
  <c r="F14" i="6"/>
  <c r="G24" i="6"/>
  <c r="G14" i="6"/>
  <c r="G33" i="6" s="1"/>
  <c r="E29" i="6"/>
  <c r="E30" i="6" s="1"/>
  <c r="E25" i="6"/>
  <c r="B13" i="6"/>
  <c r="J24" i="6"/>
  <c r="J14" i="6"/>
  <c r="J33" i="6" s="1"/>
  <c r="H24" i="6"/>
  <c r="H14" i="6"/>
  <c r="H33" i="6" s="1"/>
  <c r="E33" i="6"/>
  <c r="C24" i="6"/>
  <c r="C14" i="6"/>
  <c r="K24" i="6"/>
  <c r="K14" i="6"/>
  <c r="F33" i="6"/>
  <c r="E14" i="6"/>
  <c r="M14" i="6"/>
  <c r="M33" i="6" s="1"/>
  <c r="F85" i="3"/>
  <c r="H5" i="5"/>
  <c r="G9" i="5"/>
  <c r="G11" i="5" s="1"/>
  <c r="D13" i="5"/>
  <c r="D15" i="5" s="1"/>
  <c r="L13" i="5"/>
  <c r="L15" i="5" s="1"/>
  <c r="B13" i="5"/>
  <c r="J13" i="5"/>
  <c r="J15" i="5" s="1"/>
  <c r="H13" i="5"/>
  <c r="H15" i="5" s="1"/>
  <c r="E13" i="5"/>
  <c r="E15" i="5" s="1"/>
  <c r="M13" i="5"/>
  <c r="M15" i="5" s="1"/>
  <c r="B5" i="5"/>
  <c r="J5" i="5"/>
  <c r="D11" i="6"/>
  <c r="D13" i="6" s="1"/>
  <c r="C13" i="5"/>
  <c r="C15" i="5" s="1"/>
  <c r="K13" i="5"/>
  <c r="K15" i="5" s="1"/>
  <c r="H85" i="4"/>
  <c r="N23" i="6"/>
  <c r="H87" i="4"/>
  <c r="K29" i="6" l="1"/>
  <c r="K30" i="6" s="1"/>
  <c r="K25" i="6"/>
  <c r="J29" i="6"/>
  <c r="J30" i="6" s="1"/>
  <c r="J25" i="6"/>
  <c r="I29" i="6"/>
  <c r="I30" i="6" s="1"/>
  <c r="I25" i="6"/>
  <c r="L29" i="6"/>
  <c r="L30" i="6" s="1"/>
  <c r="L25" i="6"/>
  <c r="C29" i="6"/>
  <c r="C30" i="6" s="1"/>
  <c r="C25" i="6"/>
  <c r="N11" i="6"/>
  <c r="F29" i="6"/>
  <c r="F30" i="6" s="1"/>
  <c r="F25" i="6"/>
  <c r="N9" i="5"/>
  <c r="B15" i="5"/>
  <c r="N15" i="5" s="1"/>
  <c r="N13" i="5"/>
  <c r="H29" i="6"/>
  <c r="H30" i="6" s="1"/>
  <c r="H25" i="6"/>
  <c r="G29" i="6"/>
  <c r="G30" i="6" s="1"/>
  <c r="G25" i="6"/>
  <c r="D14" i="6"/>
  <c r="D33" i="6" s="1"/>
  <c r="D24" i="6"/>
  <c r="B24" i="6"/>
  <c r="B14" i="6"/>
  <c r="B33" i="6" s="1"/>
  <c r="N13" i="6"/>
  <c r="N11" i="5"/>
  <c r="B29" i="6" l="1"/>
  <c r="B25" i="6"/>
  <c r="N24" i="6"/>
  <c r="N25" i="6" s="1"/>
  <c r="D29" i="6"/>
  <c r="D30" i="6" s="1"/>
  <c r="D25" i="6"/>
  <c r="B16" i="5"/>
  <c r="N14" i="6"/>
  <c r="N33" i="6" s="1"/>
  <c r="B22" i="5" l="1"/>
  <c r="B21" i="5"/>
  <c r="C6" i="5"/>
  <c r="C16" i="5" s="1"/>
  <c r="N29" i="6"/>
  <c r="N30" i="6" s="1"/>
  <c r="B30" i="6"/>
  <c r="C21" i="5" l="1"/>
  <c r="D6" i="5"/>
  <c r="D16" i="5" s="1"/>
  <c r="C22" i="5"/>
  <c r="D22" i="5" l="1"/>
  <c r="D21" i="5"/>
  <c r="E6" i="5"/>
  <c r="E16" i="5" s="1"/>
  <c r="E21" i="5" l="1"/>
  <c r="F6" i="5"/>
  <c r="F16" i="5" s="1"/>
  <c r="E22" i="5"/>
  <c r="F22" i="5" l="1"/>
  <c r="F21" i="5"/>
  <c r="G6" i="5"/>
  <c r="G16" i="5" s="1"/>
  <c r="G21" i="5" l="1"/>
  <c r="H6" i="5"/>
  <c r="H16" i="5" s="1"/>
  <c r="G22" i="5"/>
  <c r="H21" i="5" l="1"/>
  <c r="I6" i="5"/>
  <c r="I16" i="5" s="1"/>
  <c r="H22" i="5"/>
  <c r="I21" i="5" l="1"/>
  <c r="J6" i="5"/>
  <c r="J16" i="5" s="1"/>
  <c r="I22" i="5"/>
  <c r="J22" i="5" l="1"/>
  <c r="J21" i="5"/>
  <c r="K6" i="5"/>
  <c r="K16" i="5" s="1"/>
  <c r="K21" i="5" l="1"/>
  <c r="L6" i="5"/>
  <c r="L16" i="5" s="1"/>
  <c r="K22" i="5"/>
  <c r="L22" i="5" l="1"/>
  <c r="L21" i="5"/>
  <c r="M6" i="5"/>
  <c r="M16" i="5" s="1"/>
  <c r="N16" i="5" l="1"/>
  <c r="M21" i="5"/>
  <c r="N21" i="5" s="1"/>
  <c r="M22" i="5"/>
  <c r="N22" i="5" s="1"/>
</calcChain>
</file>

<file path=xl/sharedStrings.xml><?xml version="1.0" encoding="utf-8"?>
<sst xmlns="http://schemas.openxmlformats.org/spreadsheetml/2006/main" count="120" uniqueCount="110">
  <si>
    <t>Como usar esta planilha</t>
  </si>
  <si>
    <t>Esta pasta de trabalho tem 6 abas. Preencha os dados nas células indicadas (em AZUL) e não altere as fórmulas (em PRETO).</t>
  </si>
  <si>
    <t>Legenda de cores</t>
  </si>
  <si>
    <t>Texto AZUL = célula para você preencher (dado de entrada)</t>
  </si>
  <si>
    <t>Fundo AMARELO = parâmetro-chave (taxa, saldo inicial, percentual de cenário)</t>
  </si>
  <si>
    <t>Texto PRETO = fórmula pronta - não editar</t>
  </si>
  <si>
    <t>Texto VERDE = link vindo de outra aba - não editar</t>
  </si>
  <si>
    <t>Fundo VERMELHO = conta vencida / em atraso (formatação condicional automática)</t>
  </si>
  <si>
    <t>Descrição das abas</t>
  </si>
  <si>
    <t>1) Movimento_Caixa_Diario: registro diário de entradas e saídas do caixa (vendas em dinheiro, cartão, PIX, sangrias, suprimentos e despesas pagas no caixa). O saldo acumulado é calculado automaticamente.</t>
  </si>
  <si>
    <t>2) Contas_a_Pagar: controle de fornecedores e despesas com vencimento futuro. O status (Em Aberto / Pago / Atrasado) é calculado automaticamente com base na data de hoje.</t>
  </si>
  <si>
    <t>3) Contas_a_Receber: controle de recebíveis (cartão de crédito, convênio, cheque pré-datado). Calcula o valor líquido após a taxa da operadora e o status do recebimento.</t>
  </si>
  <si>
    <t>4) Fluxo_Caixa_Projetado: projeção mensal (12 meses) do saldo de caixa, somando o que já está cadastrado em Contas a Pagar/Receber aos valores previstos de vendas e despesas. Inclui 2 cenários de sensibilidade (otimista e pessimista) sobre o saldo final.</t>
  </si>
  <si>
    <t>5) DRE_Gerencial: Demonstrativo de Resultado mensal (receita, CMV, despesas, resultado) com indicadores (margem bruta, margem operacional, margem líquida, ponto de equilíbrio e ticket médio).</t>
  </si>
  <si>
    <t>Observações importantes</t>
  </si>
  <si>
    <t>- A função HOJE() usa a data do computador para calcular status e atrasos: mantenha o relógio do sistema correto.</t>
  </si>
  <si>
    <t>- Os cenários de Fluxo de Caixa Projetado aplicam uma variação percentual simples sobre o Total de Entradas de cada mês, somada ao saldo final realista - é uma sensibilidade rápida, não uma reprojeção completa mês a mês.</t>
  </si>
  <si>
    <t>- A DRE_Gerencial trabalha por competência (quando a receita/despesa ocorre) e o Fluxo_Caixa_Projetado trabalha por caixa (quando o dinheiro entra/sai); por isso os valores de receita podem ser diferentes entre as duas abas - preencha cada uma com a lógica correta.</t>
  </si>
  <si>
    <t>- Ajuste a alíquota de impostos (Simples Nacional) e as taxas de cartão nos parâmetros em amarelo conforme o contrato real do supermercado.</t>
  </si>
  <si>
    <t>MOVIMENTO DE CAIXA DIARIO</t>
  </si>
  <si>
    <t>Saldo Inicial de Caixa (R$)</t>
  </si>
  <si>
    <t>Data de Início</t>
  </si>
  <si>
    <t>Data</t>
  </si>
  <si>
    <t>Descrição</t>
  </si>
  <si>
    <t>Categoria</t>
  </si>
  <si>
    <t>Entrada (R$)</t>
  </si>
  <si>
    <t>Saída (R$)</t>
  </si>
  <si>
    <t>Saldo Acumulado (R$)</t>
  </si>
  <si>
    <t>01/01/2026</t>
  </si>
  <si>
    <t>Vendas do dia - dinheiro</t>
  </si>
  <si>
    <t>Venda Dinheiro</t>
  </si>
  <si>
    <t>TOTAIS</t>
  </si>
  <si>
    <t>CONTAS A PAGAR</t>
  </si>
  <si>
    <t>Fornecedor</t>
  </si>
  <si>
    <t>Descrição / Nº Documento</t>
  </si>
  <si>
    <t>Data Emissão</t>
  </si>
  <si>
    <t>Data Vencimento</t>
  </si>
  <si>
    <t>Valor (R$)</t>
  </si>
  <si>
    <t>Status</t>
  </si>
  <si>
    <t>Data Pagamento</t>
  </si>
  <si>
    <t>Dias em Atraso</t>
  </si>
  <si>
    <t>Observações</t>
  </si>
  <si>
    <t>Distribuidora Alimentos LTDA</t>
  </si>
  <si>
    <t>NF 12345</t>
  </si>
  <si>
    <t>Mercadorias/Fornecedores</t>
  </si>
  <si>
    <t>05/01/2026</t>
  </si>
  <si>
    <t>20/01/2026</t>
  </si>
  <si>
    <t>Pagamento em 3x no boleto</t>
  </si>
  <si>
    <t>Total em Aberto</t>
  </si>
  <si>
    <t>Total Atrasado</t>
  </si>
  <si>
    <t>Total Pago</t>
  </si>
  <si>
    <t>CONTAS A RECEBER</t>
  </si>
  <si>
    <t>Cliente / Bandeira</t>
  </si>
  <si>
    <t>Data da Venda</t>
  </si>
  <si>
    <t>Data Prevista Receb.</t>
  </si>
  <si>
    <t>Valor Bruto (R$)</t>
  </si>
  <si>
    <t>Taxa (%)</t>
  </si>
  <si>
    <t>Valor Líquido (R$)</t>
  </si>
  <si>
    <t>Data Recebimento</t>
  </si>
  <si>
    <t>Visa/Master Credito</t>
  </si>
  <si>
    <t>Vendas cartao parceladas</t>
  </si>
  <si>
    <t>Cartao de Credito</t>
  </si>
  <si>
    <t>10/01/2026</t>
  </si>
  <si>
    <t>10/02/2026</t>
  </si>
  <si>
    <t>Repasse operadora D+30</t>
  </si>
  <si>
    <t>Total Recebido</t>
  </si>
  <si>
    <t>FLUXO DE CAIXA PROJETADO (12 MESES)</t>
  </si>
  <si>
    <t>Ano de Referência</t>
  </si>
  <si>
    <t>Ref. início do mês (auxiliar - não editar)</t>
  </si>
  <si>
    <t>Total Anual</t>
  </si>
  <si>
    <t>Saldo Inicial do Mês</t>
  </si>
  <si>
    <t>Entradas Previstas</t>
  </si>
  <si>
    <t>Vendas à Vista (Dinheiro/PIX/Débito)</t>
  </si>
  <si>
    <t>Recebimentos Cartão Crédito/Convênio</t>
  </si>
  <si>
    <t>Outras Entradas</t>
  </si>
  <si>
    <t>Total de Entradas</t>
  </si>
  <si>
    <t>Saídas Previstas</t>
  </si>
  <si>
    <t>Pagamentos Previstos (Contas a Pagar)</t>
  </si>
  <si>
    <t>Outras Saídas (não cadastradas em Contas a Pagar)</t>
  </si>
  <si>
    <t>Total de Saídas</t>
  </si>
  <si>
    <t>Saldo Final do Mês</t>
  </si>
  <si>
    <t>Análise de Cenários (sensibilidade sobre o Total de Entradas)</t>
  </si>
  <si>
    <t>Variação Otimista (%)</t>
  </si>
  <si>
    <t>Variação Pessimista (%)</t>
  </si>
  <si>
    <t>Saldo Final Otimista</t>
  </si>
  <si>
    <t>Saldo Final Pessimista</t>
  </si>
  <si>
    <t>DRE GERENCIAL E INDICADORES (12 MESES)</t>
  </si>
  <si>
    <t>Alíquota de Impostos sobre Vendas (Simples Nacional) (%)</t>
  </si>
  <si>
    <t>Receita Bruta de Vendas</t>
  </si>
  <si>
    <t>(-) Devoluções e Cancelamentos</t>
  </si>
  <si>
    <t>(-) Impostos sobre Vendas</t>
  </si>
  <si>
    <t>(-) CMV (Custo da Mercadoria Vendida)</t>
  </si>
  <si>
    <t>Margem Bruta (%)</t>
  </si>
  <si>
    <t>Despesas Operacionais</t>
  </si>
  <si>
    <t>Salários e Encargos</t>
  </si>
  <si>
    <t>Aluguel</t>
  </si>
  <si>
    <t>Energia e Água</t>
  </si>
  <si>
    <t>Materiais e Embalagens</t>
  </si>
  <si>
    <t>Marketing</t>
  </si>
  <si>
    <t>Outras Despesas Operacionais</t>
  </si>
  <si>
    <t>Total de Despesas Operacionais</t>
  </si>
  <si>
    <t>Margem Operacional (%)</t>
  </si>
  <si>
    <t>(-) Despesas Financeiras</t>
  </si>
  <si>
    <t>(+) Receitas Financeiras</t>
  </si>
  <si>
    <t>Margem Líquida (%)</t>
  </si>
  <si>
    <t>Indicadores Gerenciais</t>
  </si>
  <si>
    <t>Ponto de Equilíbrio Mensal (R$)</t>
  </si>
  <si>
    <t>Número de Vendas no Mês (Cupons)</t>
  </si>
  <si>
    <t>Ticket Médio (R$)</t>
  </si>
  <si>
    <t>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</si>
</sst>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sz val="11"/>
      <color rgb="FF000000"/>
      <name val="Arial"/>
    </font>
    <font>
      <sz val="11"/>
      <color rgb="FF008000"/>
      <name val="Arial"/>
    </font>
    <font>
      <b/>
      <sz val="12"/>
      <color rgb="FFFFFFFF"/>
      <name val="Arial"/>
    </font>
    <font>
      <sz val="11"/>
      <color rgb="FF9C0006"/>
      <name val="Arial"/>
    </font>
    <font>
      <i/>
      <sz val="8"/>
      <color rgb="FF80808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F0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8" fontId="4" fillId="3" borderId="1" xfId="0" applyNumberFormat="1" applyFont="1" applyFill="1" applyBorder="1"/>
    <xf numFmtId="14" fontId="4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/>
    <xf numFmtId="0" fontId="4" fillId="0" borderId="1" xfId="0" applyFont="1" applyBorder="1"/>
    <xf numFmtId="8" fontId="4" fillId="0" borderId="1" xfId="0" applyNumberFormat="1" applyFont="1" applyBorder="1"/>
    <xf numFmtId="8" fontId="5" fillId="0" borderId="1" xfId="0" applyNumberFormat="1" applyFont="1" applyBorder="1"/>
    <xf numFmtId="0" fontId="2" fillId="5" borderId="0" xfId="0" applyFont="1" applyFill="1" applyAlignment="1">
      <alignment horizontal="left" vertical="center"/>
    </xf>
    <xf numFmtId="0" fontId="0" fillId="5" borderId="0" xfId="0" applyFill="1"/>
    <xf numFmtId="8" fontId="2" fillId="5" borderId="1" xfId="0" applyNumberFormat="1" applyFont="1" applyFill="1" applyBorder="1"/>
    <xf numFmtId="0" fontId="5" fillId="0" borderId="1" xfId="0" applyFont="1" applyBorder="1" applyAlignment="1">
      <alignment horizontal="center"/>
    </xf>
    <xf numFmtId="8" fontId="2" fillId="0" borderId="1" xfId="0" applyNumberFormat="1" applyFont="1" applyBorder="1"/>
    <xf numFmtId="8" fontId="8" fillId="0" borderId="1" xfId="0" applyNumberFormat="1" applyFont="1" applyBorder="1"/>
    <xf numFmtId="164" fontId="4" fillId="0" borderId="1" xfId="0" applyNumberFormat="1" applyFont="1" applyBorder="1"/>
    <xf numFmtId="0" fontId="4" fillId="3" borderId="1" xfId="0" applyFont="1" applyFill="1" applyBorder="1"/>
    <xf numFmtId="0" fontId="9" fillId="0" borderId="0" xfId="0" applyFont="1"/>
    <xf numFmtId="14" fontId="9" fillId="0" borderId="0" xfId="0" applyNumberFormat="1" applyFont="1"/>
    <xf numFmtId="0" fontId="7" fillId="4" borderId="1" xfId="0" applyFont="1" applyFill="1" applyBorder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3" fillId="0" borderId="0" xfId="0" applyFont="1" applyAlignment="1">
      <alignment horizontal="left" vertical="center"/>
    </xf>
    <xf numFmtId="8" fontId="6" fillId="0" borderId="1" xfId="0" applyNumberFormat="1" applyFont="1" applyBorder="1"/>
    <xf numFmtId="164" fontId="4" fillId="3" borderId="1" xfId="0" applyNumberFormat="1" applyFont="1" applyFill="1" applyBorder="1"/>
    <xf numFmtId="164" fontId="5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7"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topLeftCell="A4" workbookViewId="0">
      <selection activeCell="C10" sqref="C10"/>
    </sheetView>
  </sheetViews>
  <sheetFormatPr defaultRowHeight="14.4" x14ac:dyDescent="0.3"/>
  <cols>
    <col min="1" max="1" width="4" customWidth="1"/>
    <col min="2" max="2" width="100" customWidth="1"/>
  </cols>
  <sheetData>
    <row r="1" spans="1:6" ht="25.95" customHeight="1" x14ac:dyDescent="0.3">
      <c r="A1" s="33" t="s">
        <v>109</v>
      </c>
      <c r="B1" s="34"/>
      <c r="C1" s="34"/>
      <c r="D1" s="34"/>
      <c r="E1" s="34"/>
      <c r="F1" s="34"/>
    </row>
    <row r="3" spans="1:6" ht="18" customHeight="1" x14ac:dyDescent="0.3">
      <c r="B3" s="1" t="s">
        <v>0</v>
      </c>
    </row>
    <row r="4" spans="1:6" ht="32.4" customHeight="1" x14ac:dyDescent="0.3">
      <c r="B4" s="2" t="s">
        <v>1</v>
      </c>
    </row>
    <row r="6" spans="1:6" ht="18" customHeight="1" x14ac:dyDescent="0.3">
      <c r="B6" s="1" t="s">
        <v>2</v>
      </c>
    </row>
    <row r="7" spans="1:6" ht="16.05" customHeight="1" x14ac:dyDescent="0.3">
      <c r="B7" s="3" t="s">
        <v>3</v>
      </c>
    </row>
    <row r="8" spans="1:6" ht="16.05" customHeight="1" x14ac:dyDescent="0.3">
      <c r="B8" s="2" t="s">
        <v>4</v>
      </c>
    </row>
    <row r="9" spans="1:6" ht="16.05" customHeight="1" x14ac:dyDescent="0.3">
      <c r="B9" s="4" t="s">
        <v>5</v>
      </c>
    </row>
    <row r="10" spans="1:6" ht="16.05" customHeight="1" x14ac:dyDescent="0.3">
      <c r="B10" s="5" t="s">
        <v>6</v>
      </c>
    </row>
    <row r="11" spans="1:6" ht="16.05" customHeight="1" x14ac:dyDescent="0.3">
      <c r="B11" s="2" t="s">
        <v>7</v>
      </c>
    </row>
    <row r="13" spans="1:6" ht="29.4" customHeight="1" x14ac:dyDescent="0.3">
      <c r="B13" s="1" t="s">
        <v>8</v>
      </c>
    </row>
    <row r="14" spans="1:6" ht="27.6" customHeight="1" x14ac:dyDescent="0.3">
      <c r="B14" s="2" t="s">
        <v>9</v>
      </c>
    </row>
    <row r="15" spans="1:6" ht="36" customHeight="1" x14ac:dyDescent="0.3">
      <c r="B15" s="2" t="s">
        <v>10</v>
      </c>
    </row>
    <row r="16" spans="1:6" ht="39.6" customHeight="1" x14ac:dyDescent="0.3">
      <c r="B16" s="2" t="s">
        <v>11</v>
      </c>
    </row>
    <row r="17" spans="2:2" ht="55.2" customHeight="1" x14ac:dyDescent="0.3">
      <c r="B17" s="2" t="s">
        <v>12</v>
      </c>
    </row>
    <row r="18" spans="2:2" ht="45" customHeight="1" x14ac:dyDescent="0.3">
      <c r="B18" s="2" t="s">
        <v>13</v>
      </c>
    </row>
    <row r="20" spans="2:2" ht="18" customHeight="1" x14ac:dyDescent="0.3">
      <c r="B20" s="1" t="s">
        <v>14</v>
      </c>
    </row>
    <row r="21" spans="2:2" ht="49.2" customHeight="1" x14ac:dyDescent="0.3">
      <c r="B21" s="2" t="s">
        <v>15</v>
      </c>
    </row>
    <row r="22" spans="2:2" ht="42" customHeight="1" x14ac:dyDescent="0.3">
      <c r="B22" s="2" t="s">
        <v>16</v>
      </c>
    </row>
    <row r="23" spans="2:2" ht="46.8" customHeight="1" x14ac:dyDescent="0.3">
      <c r="B23" s="2" t="s">
        <v>17</v>
      </c>
    </row>
    <row r="24" spans="2:2" ht="43.2" customHeight="1" x14ac:dyDescent="0.3">
      <c r="B24" s="2" t="s">
        <v>18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showGridLines="0" workbookViewId="0">
      <pane ySplit="5" topLeftCell="A6" activePane="bottomLeft" state="frozen"/>
      <selection pane="bottomLeft" activeCell="D7" sqref="D7"/>
    </sheetView>
  </sheetViews>
  <sheetFormatPr defaultRowHeight="14.4" x14ac:dyDescent="0.3"/>
  <cols>
    <col min="1" max="1" width="13" customWidth="1"/>
    <col min="2" max="2" width="32" customWidth="1"/>
    <col min="3" max="3" width="24" customWidth="1"/>
    <col min="4" max="5" width="16" customWidth="1"/>
    <col min="6" max="6" width="18" customWidth="1"/>
  </cols>
  <sheetData>
    <row r="1" spans="1:6" ht="25.95" customHeight="1" x14ac:dyDescent="0.3">
      <c r="A1" s="33" t="s">
        <v>19</v>
      </c>
      <c r="B1" s="34"/>
      <c r="C1" s="34"/>
      <c r="D1" s="34"/>
      <c r="E1" s="34"/>
      <c r="F1" s="34"/>
    </row>
    <row r="3" spans="1:6" x14ac:dyDescent="0.3">
      <c r="A3" s="6" t="s">
        <v>20</v>
      </c>
      <c r="B3" s="7">
        <v>0</v>
      </c>
      <c r="D3" s="6" t="s">
        <v>21</v>
      </c>
      <c r="E3" s="8"/>
    </row>
    <row r="5" spans="1:6" ht="31.2" x14ac:dyDescent="0.3">
      <c r="A5" s="9" t="s">
        <v>22</v>
      </c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</row>
    <row r="6" spans="1:6" x14ac:dyDescent="0.3">
      <c r="A6" s="10" t="s">
        <v>28</v>
      </c>
      <c r="B6" s="11" t="s">
        <v>29</v>
      </c>
      <c r="C6" s="11" t="s">
        <v>30</v>
      </c>
      <c r="D6" s="12">
        <v>0</v>
      </c>
      <c r="E6" s="12">
        <v>0</v>
      </c>
      <c r="F6" s="13">
        <f>B3+D6-E6</f>
        <v>0</v>
      </c>
    </row>
    <row r="7" spans="1:6" x14ac:dyDescent="0.3">
      <c r="A7" s="10"/>
      <c r="B7" s="11"/>
      <c r="C7" s="11"/>
      <c r="D7" s="12"/>
      <c r="E7" s="12"/>
      <c r="F7" s="13">
        <f t="shared" ref="F7:F38" si="0">F6+D7-E7</f>
        <v>0</v>
      </c>
    </row>
    <row r="8" spans="1:6" x14ac:dyDescent="0.3">
      <c r="A8" s="10"/>
      <c r="B8" s="11"/>
      <c r="C8" s="11"/>
      <c r="D8" s="12"/>
      <c r="E8" s="12"/>
      <c r="F8" s="13">
        <f t="shared" si="0"/>
        <v>0</v>
      </c>
    </row>
    <row r="9" spans="1:6" x14ac:dyDescent="0.3">
      <c r="A9" s="10"/>
      <c r="B9" s="11"/>
      <c r="C9" s="11"/>
      <c r="D9" s="12"/>
      <c r="E9" s="12"/>
      <c r="F9" s="13">
        <f t="shared" si="0"/>
        <v>0</v>
      </c>
    </row>
    <row r="10" spans="1:6" x14ac:dyDescent="0.3">
      <c r="A10" s="10"/>
      <c r="B10" s="11"/>
      <c r="C10" s="11"/>
      <c r="D10" s="12"/>
      <c r="E10" s="12"/>
      <c r="F10" s="13">
        <f t="shared" si="0"/>
        <v>0</v>
      </c>
    </row>
    <row r="11" spans="1:6" x14ac:dyDescent="0.3">
      <c r="A11" s="10"/>
      <c r="B11" s="11"/>
      <c r="C11" s="11"/>
      <c r="D11" s="12"/>
      <c r="E11" s="12"/>
      <c r="F11" s="13">
        <f t="shared" si="0"/>
        <v>0</v>
      </c>
    </row>
    <row r="12" spans="1:6" x14ac:dyDescent="0.3">
      <c r="A12" s="10"/>
      <c r="B12" s="11"/>
      <c r="C12" s="11"/>
      <c r="D12" s="12"/>
      <c r="E12" s="12"/>
      <c r="F12" s="13">
        <f t="shared" si="0"/>
        <v>0</v>
      </c>
    </row>
    <row r="13" spans="1:6" x14ac:dyDescent="0.3">
      <c r="A13" s="10"/>
      <c r="B13" s="11"/>
      <c r="C13" s="11"/>
      <c r="D13" s="12"/>
      <c r="E13" s="12"/>
      <c r="F13" s="13">
        <f t="shared" si="0"/>
        <v>0</v>
      </c>
    </row>
    <row r="14" spans="1:6" x14ac:dyDescent="0.3">
      <c r="A14" s="10"/>
      <c r="B14" s="11"/>
      <c r="C14" s="11"/>
      <c r="D14" s="12"/>
      <c r="E14" s="12"/>
      <c r="F14" s="13">
        <f t="shared" si="0"/>
        <v>0</v>
      </c>
    </row>
    <row r="15" spans="1:6" x14ac:dyDescent="0.3">
      <c r="A15" s="10"/>
      <c r="B15" s="11"/>
      <c r="C15" s="11"/>
      <c r="D15" s="12"/>
      <c r="E15" s="12"/>
      <c r="F15" s="13">
        <f t="shared" si="0"/>
        <v>0</v>
      </c>
    </row>
    <row r="16" spans="1:6" x14ac:dyDescent="0.3">
      <c r="A16" s="10"/>
      <c r="B16" s="11"/>
      <c r="C16" s="11"/>
      <c r="D16" s="12"/>
      <c r="E16" s="12"/>
      <c r="F16" s="13">
        <f t="shared" si="0"/>
        <v>0</v>
      </c>
    </row>
    <row r="17" spans="1:6" x14ac:dyDescent="0.3">
      <c r="A17" s="10"/>
      <c r="B17" s="11"/>
      <c r="C17" s="11"/>
      <c r="D17" s="12"/>
      <c r="E17" s="12"/>
      <c r="F17" s="13">
        <f t="shared" si="0"/>
        <v>0</v>
      </c>
    </row>
    <row r="18" spans="1:6" x14ac:dyDescent="0.3">
      <c r="A18" s="10"/>
      <c r="B18" s="11"/>
      <c r="C18" s="11"/>
      <c r="D18" s="12"/>
      <c r="E18" s="12"/>
      <c r="F18" s="13">
        <f t="shared" si="0"/>
        <v>0</v>
      </c>
    </row>
    <row r="19" spans="1:6" x14ac:dyDescent="0.3">
      <c r="A19" s="10"/>
      <c r="B19" s="11"/>
      <c r="C19" s="11"/>
      <c r="D19" s="12"/>
      <c r="E19" s="12"/>
      <c r="F19" s="13">
        <f t="shared" si="0"/>
        <v>0</v>
      </c>
    </row>
    <row r="20" spans="1:6" x14ac:dyDescent="0.3">
      <c r="A20" s="10"/>
      <c r="B20" s="11"/>
      <c r="C20" s="11"/>
      <c r="D20" s="12"/>
      <c r="E20" s="12"/>
      <c r="F20" s="13">
        <f t="shared" si="0"/>
        <v>0</v>
      </c>
    </row>
    <row r="21" spans="1:6" x14ac:dyDescent="0.3">
      <c r="A21" s="10"/>
      <c r="B21" s="11"/>
      <c r="C21" s="11"/>
      <c r="D21" s="12"/>
      <c r="E21" s="12"/>
      <c r="F21" s="13">
        <f t="shared" si="0"/>
        <v>0</v>
      </c>
    </row>
    <row r="22" spans="1:6" x14ac:dyDescent="0.3">
      <c r="A22" s="10"/>
      <c r="B22" s="11"/>
      <c r="C22" s="11"/>
      <c r="D22" s="12"/>
      <c r="E22" s="12"/>
      <c r="F22" s="13">
        <f t="shared" si="0"/>
        <v>0</v>
      </c>
    </row>
    <row r="23" spans="1:6" x14ac:dyDescent="0.3">
      <c r="A23" s="10"/>
      <c r="B23" s="11"/>
      <c r="C23" s="11"/>
      <c r="D23" s="12"/>
      <c r="E23" s="12"/>
      <c r="F23" s="13">
        <f t="shared" si="0"/>
        <v>0</v>
      </c>
    </row>
    <row r="24" spans="1:6" x14ac:dyDescent="0.3">
      <c r="A24" s="10"/>
      <c r="B24" s="11"/>
      <c r="C24" s="11"/>
      <c r="D24" s="12"/>
      <c r="E24" s="12"/>
      <c r="F24" s="13">
        <f t="shared" si="0"/>
        <v>0</v>
      </c>
    </row>
    <row r="25" spans="1:6" x14ac:dyDescent="0.3">
      <c r="A25" s="10"/>
      <c r="B25" s="11"/>
      <c r="C25" s="11"/>
      <c r="D25" s="12"/>
      <c r="E25" s="12"/>
      <c r="F25" s="13">
        <f t="shared" si="0"/>
        <v>0</v>
      </c>
    </row>
    <row r="26" spans="1:6" x14ac:dyDescent="0.3">
      <c r="A26" s="10"/>
      <c r="B26" s="11"/>
      <c r="C26" s="11"/>
      <c r="D26" s="12"/>
      <c r="E26" s="12"/>
      <c r="F26" s="13">
        <f t="shared" si="0"/>
        <v>0</v>
      </c>
    </row>
    <row r="27" spans="1:6" x14ac:dyDescent="0.3">
      <c r="A27" s="10"/>
      <c r="B27" s="11"/>
      <c r="C27" s="11"/>
      <c r="D27" s="12"/>
      <c r="E27" s="12"/>
      <c r="F27" s="13">
        <f t="shared" si="0"/>
        <v>0</v>
      </c>
    </row>
    <row r="28" spans="1:6" x14ac:dyDescent="0.3">
      <c r="A28" s="10"/>
      <c r="B28" s="11"/>
      <c r="C28" s="11"/>
      <c r="D28" s="12"/>
      <c r="E28" s="12"/>
      <c r="F28" s="13">
        <f t="shared" si="0"/>
        <v>0</v>
      </c>
    </row>
    <row r="29" spans="1:6" x14ac:dyDescent="0.3">
      <c r="A29" s="10"/>
      <c r="B29" s="11"/>
      <c r="C29" s="11"/>
      <c r="D29" s="12"/>
      <c r="E29" s="12"/>
      <c r="F29" s="13">
        <f t="shared" si="0"/>
        <v>0</v>
      </c>
    </row>
    <row r="30" spans="1:6" x14ac:dyDescent="0.3">
      <c r="A30" s="10"/>
      <c r="B30" s="11"/>
      <c r="C30" s="11"/>
      <c r="D30" s="12"/>
      <c r="E30" s="12"/>
      <c r="F30" s="13">
        <f t="shared" si="0"/>
        <v>0</v>
      </c>
    </row>
    <row r="31" spans="1:6" x14ac:dyDescent="0.3">
      <c r="A31" s="10"/>
      <c r="B31" s="11"/>
      <c r="C31" s="11"/>
      <c r="D31" s="12"/>
      <c r="E31" s="12"/>
      <c r="F31" s="13">
        <f t="shared" si="0"/>
        <v>0</v>
      </c>
    </row>
    <row r="32" spans="1:6" x14ac:dyDescent="0.3">
      <c r="A32" s="10"/>
      <c r="B32" s="11"/>
      <c r="C32" s="11"/>
      <c r="D32" s="12"/>
      <c r="E32" s="12"/>
      <c r="F32" s="13">
        <f t="shared" si="0"/>
        <v>0</v>
      </c>
    </row>
    <row r="33" spans="1:6" x14ac:dyDescent="0.3">
      <c r="A33" s="10"/>
      <c r="B33" s="11"/>
      <c r="C33" s="11"/>
      <c r="D33" s="12"/>
      <c r="E33" s="12"/>
      <c r="F33" s="13">
        <f t="shared" si="0"/>
        <v>0</v>
      </c>
    </row>
    <row r="34" spans="1:6" x14ac:dyDescent="0.3">
      <c r="A34" s="10"/>
      <c r="B34" s="11"/>
      <c r="C34" s="11"/>
      <c r="D34" s="12"/>
      <c r="E34" s="12"/>
      <c r="F34" s="13">
        <f t="shared" si="0"/>
        <v>0</v>
      </c>
    </row>
    <row r="35" spans="1:6" x14ac:dyDescent="0.3">
      <c r="A35" s="10"/>
      <c r="B35" s="11"/>
      <c r="C35" s="11"/>
      <c r="D35" s="12"/>
      <c r="E35" s="12"/>
      <c r="F35" s="13">
        <f t="shared" si="0"/>
        <v>0</v>
      </c>
    </row>
    <row r="36" spans="1:6" x14ac:dyDescent="0.3">
      <c r="A36" s="10"/>
      <c r="B36" s="11"/>
      <c r="C36" s="11"/>
      <c r="D36" s="12"/>
      <c r="E36" s="12"/>
      <c r="F36" s="13">
        <f t="shared" si="0"/>
        <v>0</v>
      </c>
    </row>
    <row r="37" spans="1:6" x14ac:dyDescent="0.3">
      <c r="A37" s="10"/>
      <c r="B37" s="11"/>
      <c r="C37" s="11"/>
      <c r="D37" s="12"/>
      <c r="E37" s="12"/>
      <c r="F37" s="13">
        <f t="shared" si="0"/>
        <v>0</v>
      </c>
    </row>
    <row r="38" spans="1:6" x14ac:dyDescent="0.3">
      <c r="A38" s="10"/>
      <c r="B38" s="11"/>
      <c r="C38" s="11"/>
      <c r="D38" s="12"/>
      <c r="E38" s="12"/>
      <c r="F38" s="13">
        <f t="shared" si="0"/>
        <v>0</v>
      </c>
    </row>
    <row r="39" spans="1:6" x14ac:dyDescent="0.3">
      <c r="A39" s="10"/>
      <c r="B39" s="11"/>
      <c r="C39" s="11"/>
      <c r="D39" s="12"/>
      <c r="E39" s="12"/>
      <c r="F39" s="13">
        <f t="shared" ref="F39:F70" si="1">F38+D39-E39</f>
        <v>0</v>
      </c>
    </row>
    <row r="40" spans="1:6" x14ac:dyDescent="0.3">
      <c r="A40" s="10"/>
      <c r="B40" s="11"/>
      <c r="C40" s="11"/>
      <c r="D40" s="12"/>
      <c r="E40" s="12"/>
      <c r="F40" s="13">
        <f t="shared" si="1"/>
        <v>0</v>
      </c>
    </row>
    <row r="41" spans="1:6" x14ac:dyDescent="0.3">
      <c r="A41" s="10"/>
      <c r="B41" s="11"/>
      <c r="C41" s="11"/>
      <c r="D41" s="12"/>
      <c r="E41" s="12"/>
      <c r="F41" s="13">
        <f t="shared" si="1"/>
        <v>0</v>
      </c>
    </row>
    <row r="42" spans="1:6" x14ac:dyDescent="0.3">
      <c r="A42" s="10"/>
      <c r="B42" s="11"/>
      <c r="C42" s="11"/>
      <c r="D42" s="12"/>
      <c r="E42" s="12"/>
      <c r="F42" s="13">
        <f t="shared" si="1"/>
        <v>0</v>
      </c>
    </row>
    <row r="43" spans="1:6" x14ac:dyDescent="0.3">
      <c r="A43" s="10"/>
      <c r="B43" s="11"/>
      <c r="C43" s="11"/>
      <c r="D43" s="12"/>
      <c r="E43" s="12"/>
      <c r="F43" s="13">
        <f t="shared" si="1"/>
        <v>0</v>
      </c>
    </row>
    <row r="44" spans="1:6" x14ac:dyDescent="0.3">
      <c r="A44" s="10"/>
      <c r="B44" s="11"/>
      <c r="C44" s="11"/>
      <c r="D44" s="12"/>
      <c r="E44" s="12"/>
      <c r="F44" s="13">
        <f t="shared" si="1"/>
        <v>0</v>
      </c>
    </row>
    <row r="45" spans="1:6" x14ac:dyDescent="0.3">
      <c r="A45" s="10"/>
      <c r="B45" s="11"/>
      <c r="C45" s="11"/>
      <c r="D45" s="12"/>
      <c r="E45" s="12"/>
      <c r="F45" s="13">
        <f t="shared" si="1"/>
        <v>0</v>
      </c>
    </row>
    <row r="46" spans="1:6" x14ac:dyDescent="0.3">
      <c r="A46" s="10"/>
      <c r="B46" s="11"/>
      <c r="C46" s="11"/>
      <c r="D46" s="12"/>
      <c r="E46" s="12"/>
      <c r="F46" s="13">
        <f t="shared" si="1"/>
        <v>0</v>
      </c>
    </row>
    <row r="47" spans="1:6" x14ac:dyDescent="0.3">
      <c r="A47" s="10"/>
      <c r="B47" s="11"/>
      <c r="C47" s="11"/>
      <c r="D47" s="12"/>
      <c r="E47" s="12"/>
      <c r="F47" s="13">
        <f t="shared" si="1"/>
        <v>0</v>
      </c>
    </row>
    <row r="48" spans="1:6" x14ac:dyDescent="0.3">
      <c r="A48" s="10"/>
      <c r="B48" s="11"/>
      <c r="C48" s="11"/>
      <c r="D48" s="12"/>
      <c r="E48" s="12"/>
      <c r="F48" s="13">
        <f t="shared" si="1"/>
        <v>0</v>
      </c>
    </row>
    <row r="49" spans="1:6" x14ac:dyDescent="0.3">
      <c r="A49" s="10"/>
      <c r="B49" s="11"/>
      <c r="C49" s="11"/>
      <c r="D49" s="12"/>
      <c r="E49" s="12"/>
      <c r="F49" s="13">
        <f t="shared" si="1"/>
        <v>0</v>
      </c>
    </row>
    <row r="50" spans="1:6" x14ac:dyDescent="0.3">
      <c r="A50" s="10"/>
      <c r="B50" s="11"/>
      <c r="C50" s="11"/>
      <c r="D50" s="12"/>
      <c r="E50" s="12"/>
      <c r="F50" s="13">
        <f t="shared" si="1"/>
        <v>0</v>
      </c>
    </row>
    <row r="51" spans="1:6" x14ac:dyDescent="0.3">
      <c r="A51" s="10"/>
      <c r="B51" s="11"/>
      <c r="C51" s="11"/>
      <c r="D51" s="12"/>
      <c r="E51" s="12"/>
      <c r="F51" s="13">
        <f t="shared" si="1"/>
        <v>0</v>
      </c>
    </row>
    <row r="52" spans="1:6" x14ac:dyDescent="0.3">
      <c r="A52" s="10"/>
      <c r="B52" s="11"/>
      <c r="C52" s="11"/>
      <c r="D52" s="12"/>
      <c r="E52" s="12"/>
      <c r="F52" s="13">
        <f t="shared" si="1"/>
        <v>0</v>
      </c>
    </row>
    <row r="53" spans="1:6" x14ac:dyDescent="0.3">
      <c r="A53" s="10"/>
      <c r="B53" s="11"/>
      <c r="C53" s="11"/>
      <c r="D53" s="12"/>
      <c r="E53" s="12"/>
      <c r="F53" s="13">
        <f t="shared" si="1"/>
        <v>0</v>
      </c>
    </row>
    <row r="54" spans="1:6" x14ac:dyDescent="0.3">
      <c r="A54" s="10"/>
      <c r="B54" s="11"/>
      <c r="C54" s="11"/>
      <c r="D54" s="12"/>
      <c r="E54" s="12"/>
      <c r="F54" s="13">
        <f t="shared" si="1"/>
        <v>0</v>
      </c>
    </row>
    <row r="55" spans="1:6" x14ac:dyDescent="0.3">
      <c r="A55" s="10"/>
      <c r="B55" s="11"/>
      <c r="C55" s="11"/>
      <c r="D55" s="12"/>
      <c r="E55" s="12"/>
      <c r="F55" s="13">
        <f t="shared" si="1"/>
        <v>0</v>
      </c>
    </row>
    <row r="56" spans="1:6" x14ac:dyDescent="0.3">
      <c r="A56" s="10"/>
      <c r="B56" s="11"/>
      <c r="C56" s="11"/>
      <c r="D56" s="12"/>
      <c r="E56" s="12"/>
      <c r="F56" s="13">
        <f t="shared" si="1"/>
        <v>0</v>
      </c>
    </row>
    <row r="57" spans="1:6" x14ac:dyDescent="0.3">
      <c r="A57" s="10"/>
      <c r="B57" s="11"/>
      <c r="C57" s="11"/>
      <c r="D57" s="12"/>
      <c r="E57" s="12"/>
      <c r="F57" s="13">
        <f t="shared" si="1"/>
        <v>0</v>
      </c>
    </row>
    <row r="58" spans="1:6" x14ac:dyDescent="0.3">
      <c r="A58" s="10"/>
      <c r="B58" s="11"/>
      <c r="C58" s="11"/>
      <c r="D58" s="12"/>
      <c r="E58" s="12"/>
      <c r="F58" s="13">
        <f t="shared" si="1"/>
        <v>0</v>
      </c>
    </row>
    <row r="59" spans="1:6" x14ac:dyDescent="0.3">
      <c r="A59" s="10"/>
      <c r="B59" s="11"/>
      <c r="C59" s="11"/>
      <c r="D59" s="12"/>
      <c r="E59" s="12"/>
      <c r="F59" s="13">
        <f t="shared" si="1"/>
        <v>0</v>
      </c>
    </row>
    <row r="60" spans="1:6" x14ac:dyDescent="0.3">
      <c r="A60" s="10"/>
      <c r="B60" s="11"/>
      <c r="C60" s="11"/>
      <c r="D60" s="12"/>
      <c r="E60" s="12"/>
      <c r="F60" s="13">
        <f t="shared" si="1"/>
        <v>0</v>
      </c>
    </row>
    <row r="61" spans="1:6" x14ac:dyDescent="0.3">
      <c r="A61" s="10"/>
      <c r="B61" s="11"/>
      <c r="C61" s="11"/>
      <c r="D61" s="12"/>
      <c r="E61" s="12"/>
      <c r="F61" s="13">
        <f t="shared" si="1"/>
        <v>0</v>
      </c>
    </row>
    <row r="62" spans="1:6" x14ac:dyDescent="0.3">
      <c r="A62" s="10"/>
      <c r="B62" s="11"/>
      <c r="C62" s="11"/>
      <c r="D62" s="12"/>
      <c r="E62" s="12"/>
      <c r="F62" s="13">
        <f t="shared" si="1"/>
        <v>0</v>
      </c>
    </row>
    <row r="63" spans="1:6" x14ac:dyDescent="0.3">
      <c r="A63" s="10"/>
      <c r="B63" s="11"/>
      <c r="C63" s="11"/>
      <c r="D63" s="12"/>
      <c r="E63" s="12"/>
      <c r="F63" s="13">
        <f t="shared" si="1"/>
        <v>0</v>
      </c>
    </row>
    <row r="64" spans="1:6" x14ac:dyDescent="0.3">
      <c r="A64" s="10"/>
      <c r="B64" s="11"/>
      <c r="C64" s="11"/>
      <c r="D64" s="12"/>
      <c r="E64" s="12"/>
      <c r="F64" s="13">
        <f t="shared" si="1"/>
        <v>0</v>
      </c>
    </row>
    <row r="65" spans="1:6" x14ac:dyDescent="0.3">
      <c r="A65" s="10"/>
      <c r="B65" s="11"/>
      <c r="C65" s="11"/>
      <c r="D65" s="12"/>
      <c r="E65" s="12"/>
      <c r="F65" s="13">
        <f t="shared" si="1"/>
        <v>0</v>
      </c>
    </row>
    <row r="66" spans="1:6" x14ac:dyDescent="0.3">
      <c r="A66" s="10"/>
      <c r="B66" s="11"/>
      <c r="C66" s="11"/>
      <c r="D66" s="12"/>
      <c r="E66" s="12"/>
      <c r="F66" s="13">
        <f t="shared" si="1"/>
        <v>0</v>
      </c>
    </row>
    <row r="67" spans="1:6" x14ac:dyDescent="0.3">
      <c r="A67" s="10"/>
      <c r="B67" s="11"/>
      <c r="C67" s="11"/>
      <c r="D67" s="12"/>
      <c r="E67" s="12"/>
      <c r="F67" s="13">
        <f t="shared" si="1"/>
        <v>0</v>
      </c>
    </row>
    <row r="68" spans="1:6" x14ac:dyDescent="0.3">
      <c r="A68" s="10"/>
      <c r="B68" s="11"/>
      <c r="C68" s="11"/>
      <c r="D68" s="12"/>
      <c r="E68" s="12"/>
      <c r="F68" s="13">
        <f t="shared" si="1"/>
        <v>0</v>
      </c>
    </row>
    <row r="69" spans="1:6" x14ac:dyDescent="0.3">
      <c r="A69" s="10"/>
      <c r="B69" s="11"/>
      <c r="C69" s="11"/>
      <c r="D69" s="12"/>
      <c r="E69" s="12"/>
      <c r="F69" s="13">
        <f t="shared" si="1"/>
        <v>0</v>
      </c>
    </row>
    <row r="70" spans="1:6" x14ac:dyDescent="0.3">
      <c r="A70" s="10"/>
      <c r="B70" s="11"/>
      <c r="C70" s="11"/>
      <c r="D70" s="12"/>
      <c r="E70" s="12"/>
      <c r="F70" s="13">
        <f t="shared" si="1"/>
        <v>0</v>
      </c>
    </row>
    <row r="71" spans="1:6" x14ac:dyDescent="0.3">
      <c r="A71" s="10"/>
      <c r="B71" s="11"/>
      <c r="C71" s="11"/>
      <c r="D71" s="12"/>
      <c r="E71" s="12"/>
      <c r="F71" s="13">
        <f t="shared" ref="F71:F102" si="2">F70+D71-E71</f>
        <v>0</v>
      </c>
    </row>
    <row r="72" spans="1:6" x14ac:dyDescent="0.3">
      <c r="A72" s="10"/>
      <c r="B72" s="11"/>
      <c r="C72" s="11"/>
      <c r="D72" s="12"/>
      <c r="E72" s="12"/>
      <c r="F72" s="13">
        <f t="shared" si="2"/>
        <v>0</v>
      </c>
    </row>
    <row r="73" spans="1:6" x14ac:dyDescent="0.3">
      <c r="A73" s="10"/>
      <c r="B73" s="11"/>
      <c r="C73" s="11"/>
      <c r="D73" s="12"/>
      <c r="E73" s="12"/>
      <c r="F73" s="13">
        <f t="shared" si="2"/>
        <v>0</v>
      </c>
    </row>
    <row r="74" spans="1:6" x14ac:dyDescent="0.3">
      <c r="A74" s="10"/>
      <c r="B74" s="11"/>
      <c r="C74" s="11"/>
      <c r="D74" s="12"/>
      <c r="E74" s="12"/>
      <c r="F74" s="13">
        <f t="shared" si="2"/>
        <v>0</v>
      </c>
    </row>
    <row r="75" spans="1:6" x14ac:dyDescent="0.3">
      <c r="A75" s="10"/>
      <c r="B75" s="11"/>
      <c r="C75" s="11"/>
      <c r="D75" s="12"/>
      <c r="E75" s="12"/>
      <c r="F75" s="13">
        <f t="shared" si="2"/>
        <v>0</v>
      </c>
    </row>
    <row r="76" spans="1:6" x14ac:dyDescent="0.3">
      <c r="A76" s="10"/>
      <c r="B76" s="11"/>
      <c r="C76" s="11"/>
      <c r="D76" s="12"/>
      <c r="E76" s="12"/>
      <c r="F76" s="13">
        <f t="shared" si="2"/>
        <v>0</v>
      </c>
    </row>
    <row r="77" spans="1:6" x14ac:dyDescent="0.3">
      <c r="A77" s="10"/>
      <c r="B77" s="11"/>
      <c r="C77" s="11"/>
      <c r="D77" s="12"/>
      <c r="E77" s="12"/>
      <c r="F77" s="13">
        <f t="shared" si="2"/>
        <v>0</v>
      </c>
    </row>
    <row r="78" spans="1:6" x14ac:dyDescent="0.3">
      <c r="A78" s="10"/>
      <c r="B78" s="11"/>
      <c r="C78" s="11"/>
      <c r="D78" s="12"/>
      <c r="E78" s="12"/>
      <c r="F78" s="13">
        <f t="shared" si="2"/>
        <v>0</v>
      </c>
    </row>
    <row r="79" spans="1:6" x14ac:dyDescent="0.3">
      <c r="A79" s="10"/>
      <c r="B79" s="11"/>
      <c r="C79" s="11"/>
      <c r="D79" s="12"/>
      <c r="E79" s="12"/>
      <c r="F79" s="13">
        <f t="shared" si="2"/>
        <v>0</v>
      </c>
    </row>
    <row r="80" spans="1:6" x14ac:dyDescent="0.3">
      <c r="A80" s="10"/>
      <c r="B80" s="11"/>
      <c r="C80" s="11"/>
      <c r="D80" s="12"/>
      <c r="E80" s="12"/>
      <c r="F80" s="13">
        <f t="shared" si="2"/>
        <v>0</v>
      </c>
    </row>
    <row r="81" spans="1:6" x14ac:dyDescent="0.3">
      <c r="A81" s="10"/>
      <c r="B81" s="11"/>
      <c r="C81" s="11"/>
      <c r="D81" s="12"/>
      <c r="E81" s="12"/>
      <c r="F81" s="13">
        <f t="shared" si="2"/>
        <v>0</v>
      </c>
    </row>
    <row r="82" spans="1:6" x14ac:dyDescent="0.3">
      <c r="A82" s="10"/>
      <c r="B82" s="11"/>
      <c r="C82" s="11"/>
      <c r="D82" s="12"/>
      <c r="E82" s="12"/>
      <c r="F82" s="13">
        <f t="shared" si="2"/>
        <v>0</v>
      </c>
    </row>
    <row r="83" spans="1:6" x14ac:dyDescent="0.3">
      <c r="A83" s="10"/>
      <c r="B83" s="11"/>
      <c r="C83" s="11"/>
      <c r="D83" s="12"/>
      <c r="E83" s="12"/>
      <c r="F83" s="13">
        <f t="shared" si="2"/>
        <v>0</v>
      </c>
    </row>
    <row r="84" spans="1:6" x14ac:dyDescent="0.3">
      <c r="A84" s="10"/>
      <c r="B84" s="11"/>
      <c r="C84" s="11"/>
      <c r="D84" s="12"/>
      <c r="E84" s="12"/>
      <c r="F84" s="13">
        <f t="shared" si="2"/>
        <v>0</v>
      </c>
    </row>
    <row r="85" spans="1:6" x14ac:dyDescent="0.3">
      <c r="A85" s="10"/>
      <c r="B85" s="11"/>
      <c r="C85" s="11"/>
      <c r="D85" s="12"/>
      <c r="E85" s="12"/>
      <c r="F85" s="13">
        <f t="shared" si="2"/>
        <v>0</v>
      </c>
    </row>
    <row r="86" spans="1:6" x14ac:dyDescent="0.3">
      <c r="A86" s="10"/>
      <c r="B86" s="11"/>
      <c r="C86" s="11"/>
      <c r="D86" s="12"/>
      <c r="E86" s="12"/>
      <c r="F86" s="13">
        <f t="shared" si="2"/>
        <v>0</v>
      </c>
    </row>
    <row r="87" spans="1:6" x14ac:dyDescent="0.3">
      <c r="A87" s="10"/>
      <c r="B87" s="11"/>
      <c r="C87" s="11"/>
      <c r="D87" s="12"/>
      <c r="E87" s="12"/>
      <c r="F87" s="13">
        <f t="shared" si="2"/>
        <v>0</v>
      </c>
    </row>
    <row r="88" spans="1:6" x14ac:dyDescent="0.3">
      <c r="A88" s="10"/>
      <c r="B88" s="11"/>
      <c r="C88" s="11"/>
      <c r="D88" s="12"/>
      <c r="E88" s="12"/>
      <c r="F88" s="13">
        <f t="shared" si="2"/>
        <v>0</v>
      </c>
    </row>
    <row r="89" spans="1:6" x14ac:dyDescent="0.3">
      <c r="A89" s="10"/>
      <c r="B89" s="11"/>
      <c r="C89" s="11"/>
      <c r="D89" s="12"/>
      <c r="E89" s="12"/>
      <c r="F89" s="13">
        <f t="shared" si="2"/>
        <v>0</v>
      </c>
    </row>
    <row r="90" spans="1:6" x14ac:dyDescent="0.3">
      <c r="A90" s="10"/>
      <c r="B90" s="11"/>
      <c r="C90" s="11"/>
      <c r="D90" s="12"/>
      <c r="E90" s="12"/>
      <c r="F90" s="13">
        <f t="shared" si="2"/>
        <v>0</v>
      </c>
    </row>
    <row r="91" spans="1:6" x14ac:dyDescent="0.3">
      <c r="A91" s="10"/>
      <c r="B91" s="11"/>
      <c r="C91" s="11"/>
      <c r="D91" s="12"/>
      <c r="E91" s="12"/>
      <c r="F91" s="13">
        <f t="shared" si="2"/>
        <v>0</v>
      </c>
    </row>
    <row r="92" spans="1:6" x14ac:dyDescent="0.3">
      <c r="A92" s="10"/>
      <c r="B92" s="11"/>
      <c r="C92" s="11"/>
      <c r="D92" s="12"/>
      <c r="E92" s="12"/>
      <c r="F92" s="13">
        <f t="shared" si="2"/>
        <v>0</v>
      </c>
    </row>
    <row r="93" spans="1:6" x14ac:dyDescent="0.3">
      <c r="A93" s="10"/>
      <c r="B93" s="11"/>
      <c r="C93" s="11"/>
      <c r="D93" s="12"/>
      <c r="E93" s="12"/>
      <c r="F93" s="13">
        <f t="shared" si="2"/>
        <v>0</v>
      </c>
    </row>
    <row r="94" spans="1:6" x14ac:dyDescent="0.3">
      <c r="A94" s="10"/>
      <c r="B94" s="11"/>
      <c r="C94" s="11"/>
      <c r="D94" s="12"/>
      <c r="E94" s="12"/>
      <c r="F94" s="13">
        <f t="shared" si="2"/>
        <v>0</v>
      </c>
    </row>
    <row r="95" spans="1:6" x14ac:dyDescent="0.3">
      <c r="A95" s="10"/>
      <c r="B95" s="11"/>
      <c r="C95" s="11"/>
      <c r="D95" s="12"/>
      <c r="E95" s="12"/>
      <c r="F95" s="13">
        <f t="shared" si="2"/>
        <v>0</v>
      </c>
    </row>
    <row r="96" spans="1:6" x14ac:dyDescent="0.3">
      <c r="A96" s="10"/>
      <c r="B96" s="11"/>
      <c r="C96" s="11"/>
      <c r="D96" s="12"/>
      <c r="E96" s="12"/>
      <c r="F96" s="13">
        <f t="shared" si="2"/>
        <v>0</v>
      </c>
    </row>
    <row r="97" spans="1:6" x14ac:dyDescent="0.3">
      <c r="A97" s="10"/>
      <c r="B97" s="11"/>
      <c r="C97" s="11"/>
      <c r="D97" s="12"/>
      <c r="E97" s="12"/>
      <c r="F97" s="13">
        <f t="shared" si="2"/>
        <v>0</v>
      </c>
    </row>
    <row r="98" spans="1:6" x14ac:dyDescent="0.3">
      <c r="A98" s="10"/>
      <c r="B98" s="11"/>
      <c r="C98" s="11"/>
      <c r="D98" s="12"/>
      <c r="E98" s="12"/>
      <c r="F98" s="13">
        <f t="shared" si="2"/>
        <v>0</v>
      </c>
    </row>
    <row r="99" spans="1:6" x14ac:dyDescent="0.3">
      <c r="A99" s="10"/>
      <c r="B99" s="11"/>
      <c r="C99" s="11"/>
      <c r="D99" s="12"/>
      <c r="E99" s="12"/>
      <c r="F99" s="13">
        <f t="shared" si="2"/>
        <v>0</v>
      </c>
    </row>
    <row r="100" spans="1:6" x14ac:dyDescent="0.3">
      <c r="A100" s="10"/>
      <c r="B100" s="11"/>
      <c r="C100" s="11"/>
      <c r="D100" s="12"/>
      <c r="E100" s="12"/>
      <c r="F100" s="13">
        <f t="shared" si="2"/>
        <v>0</v>
      </c>
    </row>
    <row r="101" spans="1:6" x14ac:dyDescent="0.3">
      <c r="A101" s="10"/>
      <c r="B101" s="11"/>
      <c r="C101" s="11"/>
      <c r="D101" s="12"/>
      <c r="E101" s="12"/>
      <c r="F101" s="13">
        <f t="shared" si="2"/>
        <v>0</v>
      </c>
    </row>
    <row r="102" spans="1:6" x14ac:dyDescent="0.3">
      <c r="A102" s="10"/>
      <c r="B102" s="11"/>
      <c r="C102" s="11"/>
      <c r="D102" s="12"/>
      <c r="E102" s="12"/>
      <c r="F102" s="13">
        <f t="shared" si="2"/>
        <v>0</v>
      </c>
    </row>
    <row r="103" spans="1:6" x14ac:dyDescent="0.3">
      <c r="A103" s="10"/>
      <c r="B103" s="11"/>
      <c r="C103" s="11"/>
      <c r="D103" s="12"/>
      <c r="E103" s="12"/>
      <c r="F103" s="13">
        <f t="shared" ref="F103:F134" si="3">F102+D103-E103</f>
        <v>0</v>
      </c>
    </row>
    <row r="104" spans="1:6" x14ac:dyDescent="0.3">
      <c r="A104" s="10"/>
      <c r="B104" s="11"/>
      <c r="C104" s="11"/>
      <c r="D104" s="12"/>
      <c r="E104" s="12"/>
      <c r="F104" s="13">
        <f t="shared" si="3"/>
        <v>0</v>
      </c>
    </row>
    <row r="105" spans="1:6" x14ac:dyDescent="0.3">
      <c r="A105" s="10"/>
      <c r="B105" s="11"/>
      <c r="C105" s="11"/>
      <c r="D105" s="12"/>
      <c r="E105" s="12"/>
      <c r="F105" s="13">
        <f t="shared" si="3"/>
        <v>0</v>
      </c>
    </row>
    <row r="106" spans="1:6" x14ac:dyDescent="0.3">
      <c r="A106" s="10"/>
      <c r="B106" s="11"/>
      <c r="C106" s="11"/>
      <c r="D106" s="12"/>
      <c r="E106" s="12"/>
      <c r="F106" s="13">
        <f t="shared" si="3"/>
        <v>0</v>
      </c>
    </row>
    <row r="107" spans="1:6" x14ac:dyDescent="0.3">
      <c r="A107" s="10"/>
      <c r="B107" s="11"/>
      <c r="C107" s="11"/>
      <c r="D107" s="12"/>
      <c r="E107" s="12"/>
      <c r="F107" s="13">
        <f t="shared" si="3"/>
        <v>0</v>
      </c>
    </row>
    <row r="108" spans="1:6" x14ac:dyDescent="0.3">
      <c r="A108" s="10"/>
      <c r="B108" s="11"/>
      <c r="C108" s="11"/>
      <c r="D108" s="12"/>
      <c r="E108" s="12"/>
      <c r="F108" s="13">
        <f t="shared" si="3"/>
        <v>0</v>
      </c>
    </row>
    <row r="109" spans="1:6" x14ac:dyDescent="0.3">
      <c r="A109" s="10"/>
      <c r="B109" s="11"/>
      <c r="C109" s="11"/>
      <c r="D109" s="12"/>
      <c r="E109" s="12"/>
      <c r="F109" s="13">
        <f t="shared" si="3"/>
        <v>0</v>
      </c>
    </row>
    <row r="110" spans="1:6" x14ac:dyDescent="0.3">
      <c r="A110" s="10"/>
      <c r="B110" s="11"/>
      <c r="C110" s="11"/>
      <c r="D110" s="12"/>
      <c r="E110" s="12"/>
      <c r="F110" s="13">
        <f t="shared" si="3"/>
        <v>0</v>
      </c>
    </row>
    <row r="111" spans="1:6" x14ac:dyDescent="0.3">
      <c r="A111" s="10"/>
      <c r="B111" s="11"/>
      <c r="C111" s="11"/>
      <c r="D111" s="12"/>
      <c r="E111" s="12"/>
      <c r="F111" s="13">
        <f t="shared" si="3"/>
        <v>0</v>
      </c>
    </row>
    <row r="112" spans="1:6" x14ac:dyDescent="0.3">
      <c r="A112" s="10"/>
      <c r="B112" s="11"/>
      <c r="C112" s="11"/>
      <c r="D112" s="12"/>
      <c r="E112" s="12"/>
      <c r="F112" s="13">
        <f t="shared" si="3"/>
        <v>0</v>
      </c>
    </row>
    <row r="113" spans="1:6" x14ac:dyDescent="0.3">
      <c r="A113" s="10"/>
      <c r="B113" s="11"/>
      <c r="C113" s="11"/>
      <c r="D113" s="12"/>
      <c r="E113" s="12"/>
      <c r="F113" s="13">
        <f t="shared" si="3"/>
        <v>0</v>
      </c>
    </row>
    <row r="114" spans="1:6" x14ac:dyDescent="0.3">
      <c r="A114" s="10"/>
      <c r="B114" s="11"/>
      <c r="C114" s="11"/>
      <c r="D114" s="12"/>
      <c r="E114" s="12"/>
      <c r="F114" s="13">
        <f t="shared" si="3"/>
        <v>0</v>
      </c>
    </row>
    <row r="115" spans="1:6" x14ac:dyDescent="0.3">
      <c r="A115" s="10"/>
      <c r="B115" s="11"/>
      <c r="C115" s="11"/>
      <c r="D115" s="12"/>
      <c r="E115" s="12"/>
      <c r="F115" s="13">
        <f t="shared" si="3"/>
        <v>0</v>
      </c>
    </row>
    <row r="116" spans="1:6" x14ac:dyDescent="0.3">
      <c r="A116" s="10"/>
      <c r="B116" s="11"/>
      <c r="C116" s="11"/>
      <c r="D116" s="12"/>
      <c r="E116" s="12"/>
      <c r="F116" s="13">
        <f t="shared" si="3"/>
        <v>0</v>
      </c>
    </row>
    <row r="117" spans="1:6" x14ac:dyDescent="0.3">
      <c r="A117" s="10"/>
      <c r="B117" s="11"/>
      <c r="C117" s="11"/>
      <c r="D117" s="12"/>
      <c r="E117" s="12"/>
      <c r="F117" s="13">
        <f t="shared" si="3"/>
        <v>0</v>
      </c>
    </row>
    <row r="118" spans="1:6" x14ac:dyDescent="0.3">
      <c r="A118" s="10"/>
      <c r="B118" s="11"/>
      <c r="C118" s="11"/>
      <c r="D118" s="12"/>
      <c r="E118" s="12"/>
      <c r="F118" s="13">
        <f t="shared" si="3"/>
        <v>0</v>
      </c>
    </row>
    <row r="119" spans="1:6" x14ac:dyDescent="0.3">
      <c r="A119" s="10"/>
      <c r="B119" s="11"/>
      <c r="C119" s="11"/>
      <c r="D119" s="12"/>
      <c r="E119" s="12"/>
      <c r="F119" s="13">
        <f t="shared" si="3"/>
        <v>0</v>
      </c>
    </row>
    <row r="120" spans="1:6" x14ac:dyDescent="0.3">
      <c r="A120" s="10"/>
      <c r="B120" s="11"/>
      <c r="C120" s="11"/>
      <c r="D120" s="12"/>
      <c r="E120" s="12"/>
      <c r="F120" s="13">
        <f t="shared" si="3"/>
        <v>0</v>
      </c>
    </row>
    <row r="121" spans="1:6" x14ac:dyDescent="0.3">
      <c r="A121" s="10"/>
      <c r="B121" s="11"/>
      <c r="C121" s="11"/>
      <c r="D121" s="12"/>
      <c r="E121" s="12"/>
      <c r="F121" s="13">
        <f t="shared" si="3"/>
        <v>0</v>
      </c>
    </row>
    <row r="122" spans="1:6" x14ac:dyDescent="0.3">
      <c r="A122" s="10"/>
      <c r="B122" s="11"/>
      <c r="C122" s="11"/>
      <c r="D122" s="12"/>
      <c r="E122" s="12"/>
      <c r="F122" s="13">
        <f t="shared" si="3"/>
        <v>0</v>
      </c>
    </row>
    <row r="123" spans="1:6" x14ac:dyDescent="0.3">
      <c r="A123" s="10"/>
      <c r="B123" s="11"/>
      <c r="C123" s="11"/>
      <c r="D123" s="12"/>
      <c r="E123" s="12"/>
      <c r="F123" s="13">
        <f t="shared" si="3"/>
        <v>0</v>
      </c>
    </row>
    <row r="124" spans="1:6" x14ac:dyDescent="0.3">
      <c r="A124" s="10"/>
      <c r="B124" s="11"/>
      <c r="C124" s="11"/>
      <c r="D124" s="12"/>
      <c r="E124" s="12"/>
      <c r="F124" s="13">
        <f t="shared" si="3"/>
        <v>0</v>
      </c>
    </row>
    <row r="125" spans="1:6" x14ac:dyDescent="0.3">
      <c r="A125" s="10"/>
      <c r="B125" s="11"/>
      <c r="C125" s="11"/>
      <c r="D125" s="12"/>
      <c r="E125" s="12"/>
      <c r="F125" s="13">
        <f t="shared" si="3"/>
        <v>0</v>
      </c>
    </row>
    <row r="126" spans="1:6" x14ac:dyDescent="0.3">
      <c r="A126" s="10"/>
      <c r="B126" s="11"/>
      <c r="C126" s="11"/>
      <c r="D126" s="12"/>
      <c r="E126" s="12"/>
      <c r="F126" s="13">
        <f t="shared" si="3"/>
        <v>0</v>
      </c>
    </row>
    <row r="127" spans="1:6" x14ac:dyDescent="0.3">
      <c r="A127" s="10"/>
      <c r="B127" s="11"/>
      <c r="C127" s="11"/>
      <c r="D127" s="12"/>
      <c r="E127" s="12"/>
      <c r="F127" s="13">
        <f t="shared" si="3"/>
        <v>0</v>
      </c>
    </row>
    <row r="128" spans="1:6" x14ac:dyDescent="0.3">
      <c r="A128" s="10"/>
      <c r="B128" s="11"/>
      <c r="C128" s="11"/>
      <c r="D128" s="12"/>
      <c r="E128" s="12"/>
      <c r="F128" s="13">
        <f t="shared" si="3"/>
        <v>0</v>
      </c>
    </row>
    <row r="129" spans="1:6" x14ac:dyDescent="0.3">
      <c r="A129" s="10"/>
      <c r="B129" s="11"/>
      <c r="C129" s="11"/>
      <c r="D129" s="12"/>
      <c r="E129" s="12"/>
      <c r="F129" s="13">
        <f t="shared" si="3"/>
        <v>0</v>
      </c>
    </row>
    <row r="130" spans="1:6" x14ac:dyDescent="0.3">
      <c r="A130" s="10"/>
      <c r="B130" s="11"/>
      <c r="C130" s="11"/>
      <c r="D130" s="12"/>
      <c r="E130" s="12"/>
      <c r="F130" s="13">
        <f t="shared" si="3"/>
        <v>0</v>
      </c>
    </row>
    <row r="131" spans="1:6" x14ac:dyDescent="0.3">
      <c r="A131" s="10"/>
      <c r="B131" s="11"/>
      <c r="C131" s="11"/>
      <c r="D131" s="12"/>
      <c r="E131" s="12"/>
      <c r="F131" s="13">
        <f t="shared" si="3"/>
        <v>0</v>
      </c>
    </row>
    <row r="132" spans="1:6" x14ac:dyDescent="0.3">
      <c r="A132" s="10"/>
      <c r="B132" s="11"/>
      <c r="C132" s="11"/>
      <c r="D132" s="12"/>
      <c r="E132" s="12"/>
      <c r="F132" s="13">
        <f t="shared" si="3"/>
        <v>0</v>
      </c>
    </row>
    <row r="133" spans="1:6" x14ac:dyDescent="0.3">
      <c r="A133" s="10"/>
      <c r="B133" s="11"/>
      <c r="C133" s="11"/>
      <c r="D133" s="12"/>
      <c r="E133" s="12"/>
      <c r="F133" s="13">
        <f t="shared" si="3"/>
        <v>0</v>
      </c>
    </row>
    <row r="134" spans="1:6" x14ac:dyDescent="0.3">
      <c r="A134" s="10"/>
      <c r="B134" s="11"/>
      <c r="C134" s="11"/>
      <c r="D134" s="12"/>
      <c r="E134" s="12"/>
      <c r="F134" s="13">
        <f t="shared" si="3"/>
        <v>0</v>
      </c>
    </row>
    <row r="135" spans="1:6" x14ac:dyDescent="0.3">
      <c r="A135" s="10"/>
      <c r="B135" s="11"/>
      <c r="C135" s="11"/>
      <c r="D135" s="12"/>
      <c r="E135" s="12"/>
      <c r="F135" s="13">
        <f t="shared" ref="F135:F166" si="4">F134+D135-E135</f>
        <v>0</v>
      </c>
    </row>
    <row r="136" spans="1:6" x14ac:dyDescent="0.3">
      <c r="A136" s="10"/>
      <c r="B136" s="11"/>
      <c r="C136" s="11"/>
      <c r="D136" s="12"/>
      <c r="E136" s="12"/>
      <c r="F136" s="13">
        <f t="shared" si="4"/>
        <v>0</v>
      </c>
    </row>
    <row r="137" spans="1:6" x14ac:dyDescent="0.3">
      <c r="A137" s="10"/>
      <c r="B137" s="11"/>
      <c r="C137" s="11"/>
      <c r="D137" s="12"/>
      <c r="E137" s="12"/>
      <c r="F137" s="13">
        <f t="shared" si="4"/>
        <v>0</v>
      </c>
    </row>
    <row r="138" spans="1:6" x14ac:dyDescent="0.3">
      <c r="A138" s="10"/>
      <c r="B138" s="11"/>
      <c r="C138" s="11"/>
      <c r="D138" s="12"/>
      <c r="E138" s="12"/>
      <c r="F138" s="13">
        <f t="shared" si="4"/>
        <v>0</v>
      </c>
    </row>
    <row r="139" spans="1:6" x14ac:dyDescent="0.3">
      <c r="A139" s="10"/>
      <c r="B139" s="11"/>
      <c r="C139" s="11"/>
      <c r="D139" s="12"/>
      <c r="E139" s="12"/>
      <c r="F139" s="13">
        <f t="shared" si="4"/>
        <v>0</v>
      </c>
    </row>
    <row r="140" spans="1:6" x14ac:dyDescent="0.3">
      <c r="A140" s="10"/>
      <c r="B140" s="11"/>
      <c r="C140" s="11"/>
      <c r="D140" s="12"/>
      <c r="E140" s="12"/>
      <c r="F140" s="13">
        <f t="shared" si="4"/>
        <v>0</v>
      </c>
    </row>
    <row r="141" spans="1:6" x14ac:dyDescent="0.3">
      <c r="A141" s="10"/>
      <c r="B141" s="11"/>
      <c r="C141" s="11"/>
      <c r="D141" s="12"/>
      <c r="E141" s="12"/>
      <c r="F141" s="13">
        <f t="shared" si="4"/>
        <v>0</v>
      </c>
    </row>
    <row r="142" spans="1:6" x14ac:dyDescent="0.3">
      <c r="A142" s="10"/>
      <c r="B142" s="11"/>
      <c r="C142" s="11"/>
      <c r="D142" s="12"/>
      <c r="E142" s="12"/>
      <c r="F142" s="13">
        <f t="shared" si="4"/>
        <v>0</v>
      </c>
    </row>
    <row r="143" spans="1:6" x14ac:dyDescent="0.3">
      <c r="A143" s="10"/>
      <c r="B143" s="11"/>
      <c r="C143" s="11"/>
      <c r="D143" s="12"/>
      <c r="E143" s="12"/>
      <c r="F143" s="13">
        <f t="shared" si="4"/>
        <v>0</v>
      </c>
    </row>
    <row r="144" spans="1:6" x14ac:dyDescent="0.3">
      <c r="A144" s="10"/>
      <c r="B144" s="11"/>
      <c r="C144" s="11"/>
      <c r="D144" s="12"/>
      <c r="E144" s="12"/>
      <c r="F144" s="13">
        <f t="shared" si="4"/>
        <v>0</v>
      </c>
    </row>
    <row r="145" spans="1:6" x14ac:dyDescent="0.3">
      <c r="A145" s="10"/>
      <c r="B145" s="11"/>
      <c r="C145" s="11"/>
      <c r="D145" s="12"/>
      <c r="E145" s="12"/>
      <c r="F145" s="13">
        <f t="shared" si="4"/>
        <v>0</v>
      </c>
    </row>
    <row r="146" spans="1:6" x14ac:dyDescent="0.3">
      <c r="A146" s="10"/>
      <c r="B146" s="11"/>
      <c r="C146" s="11"/>
      <c r="D146" s="12"/>
      <c r="E146" s="12"/>
      <c r="F146" s="13">
        <f t="shared" si="4"/>
        <v>0</v>
      </c>
    </row>
    <row r="147" spans="1:6" x14ac:dyDescent="0.3">
      <c r="A147" s="10"/>
      <c r="B147" s="11"/>
      <c r="C147" s="11"/>
      <c r="D147" s="12"/>
      <c r="E147" s="12"/>
      <c r="F147" s="13">
        <f t="shared" si="4"/>
        <v>0</v>
      </c>
    </row>
    <row r="148" spans="1:6" x14ac:dyDescent="0.3">
      <c r="A148" s="10"/>
      <c r="B148" s="11"/>
      <c r="C148" s="11"/>
      <c r="D148" s="12"/>
      <c r="E148" s="12"/>
      <c r="F148" s="13">
        <f t="shared" si="4"/>
        <v>0</v>
      </c>
    </row>
    <row r="149" spans="1:6" x14ac:dyDescent="0.3">
      <c r="A149" s="10"/>
      <c r="B149" s="11"/>
      <c r="C149" s="11"/>
      <c r="D149" s="12"/>
      <c r="E149" s="12"/>
      <c r="F149" s="13">
        <f t="shared" si="4"/>
        <v>0</v>
      </c>
    </row>
    <row r="150" spans="1:6" x14ac:dyDescent="0.3">
      <c r="A150" s="10"/>
      <c r="B150" s="11"/>
      <c r="C150" s="11"/>
      <c r="D150" s="12"/>
      <c r="E150" s="12"/>
      <c r="F150" s="13">
        <f t="shared" si="4"/>
        <v>0</v>
      </c>
    </row>
    <row r="151" spans="1:6" x14ac:dyDescent="0.3">
      <c r="A151" s="10"/>
      <c r="B151" s="11"/>
      <c r="C151" s="11"/>
      <c r="D151" s="12"/>
      <c r="E151" s="12"/>
      <c r="F151" s="13">
        <f t="shared" si="4"/>
        <v>0</v>
      </c>
    </row>
    <row r="152" spans="1:6" x14ac:dyDescent="0.3">
      <c r="A152" s="10"/>
      <c r="B152" s="11"/>
      <c r="C152" s="11"/>
      <c r="D152" s="12"/>
      <c r="E152" s="12"/>
      <c r="F152" s="13">
        <f t="shared" si="4"/>
        <v>0</v>
      </c>
    </row>
    <row r="153" spans="1:6" x14ac:dyDescent="0.3">
      <c r="A153" s="10"/>
      <c r="B153" s="11"/>
      <c r="C153" s="11"/>
      <c r="D153" s="12"/>
      <c r="E153" s="12"/>
      <c r="F153" s="13">
        <f t="shared" si="4"/>
        <v>0</v>
      </c>
    </row>
    <row r="154" spans="1:6" x14ac:dyDescent="0.3">
      <c r="A154" s="10"/>
      <c r="B154" s="11"/>
      <c r="C154" s="11"/>
      <c r="D154" s="12"/>
      <c r="E154" s="12"/>
      <c r="F154" s="13">
        <f t="shared" si="4"/>
        <v>0</v>
      </c>
    </row>
    <row r="155" spans="1:6" x14ac:dyDescent="0.3">
      <c r="A155" s="10"/>
      <c r="B155" s="11"/>
      <c r="C155" s="11"/>
      <c r="D155" s="12"/>
      <c r="E155" s="12"/>
      <c r="F155" s="13">
        <f t="shared" si="4"/>
        <v>0</v>
      </c>
    </row>
    <row r="157" spans="1:6" x14ac:dyDescent="0.3">
      <c r="A157" s="14" t="s">
        <v>31</v>
      </c>
      <c r="B157" s="15"/>
      <c r="C157" s="15"/>
      <c r="D157" s="16">
        <f>SUM(D6:D155)</f>
        <v>0</v>
      </c>
      <c r="E157" s="16">
        <f>SUM(E6:E155)</f>
        <v>0</v>
      </c>
      <c r="F157" s="16">
        <f>B3+D157-E157</f>
        <v>0</v>
      </c>
    </row>
  </sheetData>
  <mergeCells count="1">
    <mergeCell ref="A1:F1"/>
  </mergeCells>
  <conditionalFormatting sqref="F6:F155">
    <cfRule type="cellIs" dxfId="6" priority="1" operator="lessThan">
      <formula>0</formula>
    </cfRule>
  </conditionalFormatting>
  <dataValidations count="1">
    <dataValidation type="list" allowBlank="1" sqref="C6:C155">
      <formula1>"Venda Dinheiro,Venda Cartao Debito,Venda Cartao Credito,Venda PIX,Suprimento de Caixa,Sangria,Pagamento Fornecedor,Despesa Operacional,Outras Entradas,Outras Saidas"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showGridLines="0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31.5546875" customWidth="1"/>
    <col min="2" max="3" width="26" customWidth="1"/>
    <col min="4" max="6" width="14" customWidth="1"/>
    <col min="7" max="7" width="13" customWidth="1"/>
    <col min="8" max="8" width="14" customWidth="1"/>
    <col min="9" max="9" width="13" customWidth="1"/>
    <col min="10" max="10" width="26" customWidth="1"/>
  </cols>
  <sheetData>
    <row r="1" spans="1:10" ht="25.95" customHeight="1" x14ac:dyDescent="0.3">
      <c r="A1" s="33" t="s">
        <v>32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31.2" x14ac:dyDescent="0.3">
      <c r="A3" s="9" t="s">
        <v>33</v>
      </c>
      <c r="B3" s="9" t="s">
        <v>34</v>
      </c>
      <c r="C3" s="9" t="s">
        <v>24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39</v>
      </c>
      <c r="I3" s="9" t="s">
        <v>40</v>
      </c>
      <c r="J3" s="9" t="s">
        <v>41</v>
      </c>
    </row>
    <row r="4" spans="1:10" x14ac:dyDescent="0.3">
      <c r="A4" s="11" t="s">
        <v>42</v>
      </c>
      <c r="B4" s="11" t="s">
        <v>43</v>
      </c>
      <c r="C4" s="11" t="s">
        <v>44</v>
      </c>
      <c r="D4" s="10" t="s">
        <v>45</v>
      </c>
      <c r="E4" s="10" t="s">
        <v>46</v>
      </c>
      <c r="F4" s="12">
        <v>3200</v>
      </c>
      <c r="G4" s="17" t="str">
        <f t="shared" ref="G4:G35" ca="1" si="0">IF(E4="","",IF(H4&lt;&gt;"","Pago",IF(E4&lt;TODAY(),"Atrasado","Em Aberto")))</f>
        <v>Em Aberto</v>
      </c>
      <c r="H4" s="10"/>
      <c r="I4" s="17">
        <f t="shared" ref="I4:I35" ca="1" si="1">IF(OR(E4="",H4&lt;&gt;""),0,IF(E4&lt;TODAY(),TODAY()-E4,0))</f>
        <v>0</v>
      </c>
      <c r="J4" s="11" t="s">
        <v>47</v>
      </c>
    </row>
    <row r="5" spans="1:10" x14ac:dyDescent="0.3">
      <c r="A5" s="11"/>
      <c r="B5" s="11"/>
      <c r="C5" s="11"/>
      <c r="D5" s="10"/>
      <c r="E5" s="10"/>
      <c r="F5" s="12"/>
      <c r="G5" s="17" t="str">
        <f t="shared" ca="1" si="0"/>
        <v/>
      </c>
      <c r="H5" s="10"/>
      <c r="I5" s="17">
        <f t="shared" ca="1" si="1"/>
        <v>0</v>
      </c>
      <c r="J5" s="11"/>
    </row>
    <row r="6" spans="1:10" x14ac:dyDescent="0.3">
      <c r="A6" s="11"/>
      <c r="B6" s="11"/>
      <c r="C6" s="11"/>
      <c r="D6" s="10"/>
      <c r="E6" s="10"/>
      <c r="F6" s="12"/>
      <c r="G6" s="17" t="str">
        <f t="shared" ca="1" si="0"/>
        <v/>
      </c>
      <c r="H6" s="10"/>
      <c r="I6" s="17">
        <f t="shared" ca="1" si="1"/>
        <v>0</v>
      </c>
      <c r="J6" s="11"/>
    </row>
    <row r="7" spans="1:10" x14ac:dyDescent="0.3">
      <c r="A7" s="11"/>
      <c r="B7" s="11"/>
      <c r="C7" s="11"/>
      <c r="D7" s="10"/>
      <c r="E7" s="10"/>
      <c r="F7" s="12"/>
      <c r="G7" s="17" t="str">
        <f t="shared" ca="1" si="0"/>
        <v/>
      </c>
      <c r="H7" s="10"/>
      <c r="I7" s="17">
        <f t="shared" ca="1" si="1"/>
        <v>0</v>
      </c>
      <c r="J7" s="11"/>
    </row>
    <row r="8" spans="1:10" x14ac:dyDescent="0.3">
      <c r="A8" s="11"/>
      <c r="B8" s="11"/>
      <c r="C8" s="11"/>
      <c r="D8" s="10"/>
      <c r="E8" s="10"/>
      <c r="F8" s="12"/>
      <c r="G8" s="17" t="str">
        <f t="shared" ca="1" si="0"/>
        <v/>
      </c>
      <c r="H8" s="10"/>
      <c r="I8" s="17">
        <f t="shared" ca="1" si="1"/>
        <v>0</v>
      </c>
      <c r="J8" s="11"/>
    </row>
    <row r="9" spans="1:10" x14ac:dyDescent="0.3">
      <c r="A9" s="11"/>
      <c r="B9" s="11"/>
      <c r="C9" s="11"/>
      <c r="D9" s="10"/>
      <c r="E9" s="10"/>
      <c r="F9" s="12"/>
      <c r="G9" s="17" t="str">
        <f t="shared" ca="1" si="0"/>
        <v/>
      </c>
      <c r="H9" s="10"/>
      <c r="I9" s="17">
        <f t="shared" ca="1" si="1"/>
        <v>0</v>
      </c>
      <c r="J9" s="11"/>
    </row>
    <row r="10" spans="1:10" x14ac:dyDescent="0.3">
      <c r="A10" s="11"/>
      <c r="B10" s="11"/>
      <c r="C10" s="11"/>
      <c r="D10" s="10"/>
      <c r="E10" s="10"/>
      <c r="F10" s="12"/>
      <c r="G10" s="17" t="str">
        <f t="shared" ca="1" si="0"/>
        <v/>
      </c>
      <c r="H10" s="10"/>
      <c r="I10" s="17">
        <f t="shared" ca="1" si="1"/>
        <v>0</v>
      </c>
      <c r="J10" s="11"/>
    </row>
    <row r="11" spans="1:10" x14ac:dyDescent="0.3">
      <c r="A11" s="11"/>
      <c r="B11" s="11"/>
      <c r="C11" s="11"/>
      <c r="D11" s="10"/>
      <c r="E11" s="10"/>
      <c r="F11" s="12"/>
      <c r="G11" s="17" t="str">
        <f t="shared" ca="1" si="0"/>
        <v/>
      </c>
      <c r="H11" s="10"/>
      <c r="I11" s="17">
        <f t="shared" ca="1" si="1"/>
        <v>0</v>
      </c>
      <c r="J11" s="11"/>
    </row>
    <row r="12" spans="1:10" x14ac:dyDescent="0.3">
      <c r="A12" s="11"/>
      <c r="B12" s="11"/>
      <c r="C12" s="11"/>
      <c r="D12" s="10"/>
      <c r="E12" s="10"/>
      <c r="F12" s="12"/>
      <c r="G12" s="17" t="str">
        <f t="shared" ca="1" si="0"/>
        <v/>
      </c>
      <c r="H12" s="10"/>
      <c r="I12" s="17">
        <f t="shared" ca="1" si="1"/>
        <v>0</v>
      </c>
      <c r="J12" s="11"/>
    </row>
    <row r="13" spans="1:10" x14ac:dyDescent="0.3">
      <c r="A13" s="11"/>
      <c r="B13" s="11"/>
      <c r="C13" s="11"/>
      <c r="D13" s="10"/>
      <c r="E13" s="10"/>
      <c r="F13" s="12"/>
      <c r="G13" s="17" t="str">
        <f t="shared" ca="1" si="0"/>
        <v/>
      </c>
      <c r="H13" s="10"/>
      <c r="I13" s="17">
        <f t="shared" ca="1" si="1"/>
        <v>0</v>
      </c>
      <c r="J13" s="11"/>
    </row>
    <row r="14" spans="1:10" x14ac:dyDescent="0.3">
      <c r="A14" s="11"/>
      <c r="B14" s="11"/>
      <c r="C14" s="11"/>
      <c r="D14" s="10"/>
      <c r="E14" s="10"/>
      <c r="F14" s="12"/>
      <c r="G14" s="17" t="str">
        <f t="shared" ca="1" si="0"/>
        <v/>
      </c>
      <c r="H14" s="10"/>
      <c r="I14" s="17">
        <f t="shared" ca="1" si="1"/>
        <v>0</v>
      </c>
      <c r="J14" s="11"/>
    </row>
    <row r="15" spans="1:10" x14ac:dyDescent="0.3">
      <c r="A15" s="11"/>
      <c r="B15" s="11"/>
      <c r="C15" s="11"/>
      <c r="D15" s="10"/>
      <c r="E15" s="10"/>
      <c r="F15" s="12"/>
      <c r="G15" s="17" t="str">
        <f t="shared" ca="1" si="0"/>
        <v/>
      </c>
      <c r="H15" s="10"/>
      <c r="I15" s="17">
        <f t="shared" ca="1" si="1"/>
        <v>0</v>
      </c>
      <c r="J15" s="11"/>
    </row>
    <row r="16" spans="1:10" x14ac:dyDescent="0.3">
      <c r="A16" s="11"/>
      <c r="B16" s="11"/>
      <c r="C16" s="11"/>
      <c r="D16" s="10"/>
      <c r="E16" s="10"/>
      <c r="F16" s="12"/>
      <c r="G16" s="17" t="str">
        <f t="shared" ca="1" si="0"/>
        <v/>
      </c>
      <c r="H16" s="10"/>
      <c r="I16" s="17">
        <f t="shared" ca="1" si="1"/>
        <v>0</v>
      </c>
      <c r="J16" s="11"/>
    </row>
    <row r="17" spans="1:10" x14ac:dyDescent="0.3">
      <c r="A17" s="11"/>
      <c r="B17" s="11"/>
      <c r="C17" s="11"/>
      <c r="D17" s="10"/>
      <c r="E17" s="10"/>
      <c r="F17" s="12"/>
      <c r="G17" s="17" t="str">
        <f t="shared" ca="1" si="0"/>
        <v/>
      </c>
      <c r="H17" s="10"/>
      <c r="I17" s="17">
        <f t="shared" ca="1" si="1"/>
        <v>0</v>
      </c>
      <c r="J17" s="11"/>
    </row>
    <row r="18" spans="1:10" x14ac:dyDescent="0.3">
      <c r="A18" s="11"/>
      <c r="B18" s="11"/>
      <c r="C18" s="11"/>
      <c r="D18" s="10"/>
      <c r="E18" s="10"/>
      <c r="F18" s="12"/>
      <c r="G18" s="17" t="str">
        <f t="shared" ca="1" si="0"/>
        <v/>
      </c>
      <c r="H18" s="10"/>
      <c r="I18" s="17">
        <f t="shared" ca="1" si="1"/>
        <v>0</v>
      </c>
      <c r="J18" s="11"/>
    </row>
    <row r="19" spans="1:10" x14ac:dyDescent="0.3">
      <c r="A19" s="11"/>
      <c r="B19" s="11"/>
      <c r="C19" s="11"/>
      <c r="D19" s="10"/>
      <c r="E19" s="10"/>
      <c r="F19" s="12"/>
      <c r="G19" s="17" t="str">
        <f t="shared" ca="1" si="0"/>
        <v/>
      </c>
      <c r="H19" s="10"/>
      <c r="I19" s="17">
        <f t="shared" ca="1" si="1"/>
        <v>0</v>
      </c>
      <c r="J19" s="11"/>
    </row>
    <row r="20" spans="1:10" x14ac:dyDescent="0.3">
      <c r="A20" s="11"/>
      <c r="B20" s="11"/>
      <c r="C20" s="11"/>
      <c r="D20" s="10"/>
      <c r="E20" s="10"/>
      <c r="F20" s="12"/>
      <c r="G20" s="17" t="str">
        <f t="shared" ca="1" si="0"/>
        <v/>
      </c>
      <c r="H20" s="10"/>
      <c r="I20" s="17">
        <f t="shared" ca="1" si="1"/>
        <v>0</v>
      </c>
      <c r="J20" s="11"/>
    </row>
    <row r="21" spans="1:10" x14ac:dyDescent="0.3">
      <c r="A21" s="11"/>
      <c r="B21" s="11"/>
      <c r="C21" s="11"/>
      <c r="D21" s="10"/>
      <c r="E21" s="10"/>
      <c r="F21" s="12"/>
      <c r="G21" s="17" t="str">
        <f t="shared" ca="1" si="0"/>
        <v/>
      </c>
      <c r="H21" s="10"/>
      <c r="I21" s="17">
        <f t="shared" ca="1" si="1"/>
        <v>0</v>
      </c>
      <c r="J21" s="11"/>
    </row>
    <row r="22" spans="1:10" x14ac:dyDescent="0.3">
      <c r="A22" s="11"/>
      <c r="B22" s="11"/>
      <c r="C22" s="11"/>
      <c r="D22" s="10"/>
      <c r="E22" s="10"/>
      <c r="F22" s="12"/>
      <c r="G22" s="17" t="str">
        <f t="shared" ca="1" si="0"/>
        <v/>
      </c>
      <c r="H22" s="10"/>
      <c r="I22" s="17">
        <f t="shared" ca="1" si="1"/>
        <v>0</v>
      </c>
      <c r="J22" s="11"/>
    </row>
    <row r="23" spans="1:10" x14ac:dyDescent="0.3">
      <c r="A23" s="11"/>
      <c r="B23" s="11"/>
      <c r="C23" s="11"/>
      <c r="D23" s="10"/>
      <c r="E23" s="10"/>
      <c r="F23" s="12"/>
      <c r="G23" s="17" t="str">
        <f t="shared" ca="1" si="0"/>
        <v/>
      </c>
      <c r="H23" s="10"/>
      <c r="I23" s="17">
        <f t="shared" ca="1" si="1"/>
        <v>0</v>
      </c>
      <c r="J23" s="11"/>
    </row>
    <row r="24" spans="1:10" x14ac:dyDescent="0.3">
      <c r="A24" s="11"/>
      <c r="B24" s="11"/>
      <c r="C24" s="11"/>
      <c r="D24" s="10"/>
      <c r="E24" s="10"/>
      <c r="F24" s="12"/>
      <c r="G24" s="17" t="str">
        <f t="shared" ca="1" si="0"/>
        <v/>
      </c>
      <c r="H24" s="10"/>
      <c r="I24" s="17">
        <f t="shared" ca="1" si="1"/>
        <v>0</v>
      </c>
      <c r="J24" s="11"/>
    </row>
    <row r="25" spans="1:10" x14ac:dyDescent="0.3">
      <c r="A25" s="11"/>
      <c r="B25" s="11"/>
      <c r="C25" s="11"/>
      <c r="D25" s="10"/>
      <c r="E25" s="10"/>
      <c r="F25" s="12"/>
      <c r="G25" s="17" t="str">
        <f t="shared" ca="1" si="0"/>
        <v/>
      </c>
      <c r="H25" s="10"/>
      <c r="I25" s="17">
        <f t="shared" ca="1" si="1"/>
        <v>0</v>
      </c>
      <c r="J25" s="11"/>
    </row>
    <row r="26" spans="1:10" x14ac:dyDescent="0.3">
      <c r="A26" s="11"/>
      <c r="B26" s="11"/>
      <c r="C26" s="11"/>
      <c r="D26" s="10"/>
      <c r="E26" s="10"/>
      <c r="F26" s="12"/>
      <c r="G26" s="17" t="str">
        <f t="shared" ca="1" si="0"/>
        <v/>
      </c>
      <c r="H26" s="10"/>
      <c r="I26" s="17">
        <f t="shared" ca="1" si="1"/>
        <v>0</v>
      </c>
      <c r="J26" s="11"/>
    </row>
    <row r="27" spans="1:10" x14ac:dyDescent="0.3">
      <c r="A27" s="11"/>
      <c r="B27" s="11"/>
      <c r="C27" s="11"/>
      <c r="D27" s="10"/>
      <c r="E27" s="10"/>
      <c r="F27" s="12"/>
      <c r="G27" s="17" t="str">
        <f t="shared" ca="1" si="0"/>
        <v/>
      </c>
      <c r="H27" s="10"/>
      <c r="I27" s="17">
        <f t="shared" ca="1" si="1"/>
        <v>0</v>
      </c>
      <c r="J27" s="11"/>
    </row>
    <row r="28" spans="1:10" x14ac:dyDescent="0.3">
      <c r="A28" s="11"/>
      <c r="B28" s="11"/>
      <c r="C28" s="11"/>
      <c r="D28" s="10"/>
      <c r="E28" s="10"/>
      <c r="F28" s="12"/>
      <c r="G28" s="17" t="str">
        <f t="shared" ca="1" si="0"/>
        <v/>
      </c>
      <c r="H28" s="10"/>
      <c r="I28" s="17">
        <f t="shared" ca="1" si="1"/>
        <v>0</v>
      </c>
      <c r="J28" s="11"/>
    </row>
    <row r="29" spans="1:10" x14ac:dyDescent="0.3">
      <c r="A29" s="11"/>
      <c r="B29" s="11"/>
      <c r="C29" s="11"/>
      <c r="D29" s="10"/>
      <c r="E29" s="10"/>
      <c r="F29" s="12"/>
      <c r="G29" s="17" t="str">
        <f t="shared" ca="1" si="0"/>
        <v/>
      </c>
      <c r="H29" s="10"/>
      <c r="I29" s="17">
        <f t="shared" ca="1" si="1"/>
        <v>0</v>
      </c>
      <c r="J29" s="11"/>
    </row>
    <row r="30" spans="1:10" x14ac:dyDescent="0.3">
      <c r="A30" s="11"/>
      <c r="B30" s="11"/>
      <c r="C30" s="11"/>
      <c r="D30" s="10"/>
      <c r="E30" s="10"/>
      <c r="F30" s="12"/>
      <c r="G30" s="17" t="str">
        <f t="shared" ca="1" si="0"/>
        <v/>
      </c>
      <c r="H30" s="10"/>
      <c r="I30" s="17">
        <f t="shared" ca="1" si="1"/>
        <v>0</v>
      </c>
      <c r="J30" s="11"/>
    </row>
    <row r="31" spans="1:10" x14ac:dyDescent="0.3">
      <c r="A31" s="11"/>
      <c r="B31" s="11"/>
      <c r="C31" s="11"/>
      <c r="D31" s="10"/>
      <c r="E31" s="10"/>
      <c r="F31" s="12"/>
      <c r="G31" s="17" t="str">
        <f t="shared" ca="1" si="0"/>
        <v/>
      </c>
      <c r="H31" s="10"/>
      <c r="I31" s="17">
        <f t="shared" ca="1" si="1"/>
        <v>0</v>
      </c>
      <c r="J31" s="11"/>
    </row>
    <row r="32" spans="1:10" x14ac:dyDescent="0.3">
      <c r="A32" s="11"/>
      <c r="B32" s="11"/>
      <c r="C32" s="11"/>
      <c r="D32" s="10"/>
      <c r="E32" s="10"/>
      <c r="F32" s="12"/>
      <c r="G32" s="17" t="str">
        <f t="shared" ca="1" si="0"/>
        <v/>
      </c>
      <c r="H32" s="10"/>
      <c r="I32" s="17">
        <f t="shared" ca="1" si="1"/>
        <v>0</v>
      </c>
      <c r="J32" s="11"/>
    </row>
    <row r="33" spans="1:10" x14ac:dyDescent="0.3">
      <c r="A33" s="11"/>
      <c r="B33" s="11"/>
      <c r="C33" s="11"/>
      <c r="D33" s="10"/>
      <c r="E33" s="10"/>
      <c r="F33" s="12"/>
      <c r="G33" s="17" t="str">
        <f t="shared" ca="1" si="0"/>
        <v/>
      </c>
      <c r="H33" s="10"/>
      <c r="I33" s="17">
        <f t="shared" ca="1" si="1"/>
        <v>0</v>
      </c>
      <c r="J33" s="11"/>
    </row>
    <row r="34" spans="1:10" x14ac:dyDescent="0.3">
      <c r="A34" s="11"/>
      <c r="B34" s="11"/>
      <c r="C34" s="11"/>
      <c r="D34" s="10"/>
      <c r="E34" s="10"/>
      <c r="F34" s="12"/>
      <c r="G34" s="17" t="str">
        <f t="shared" ca="1" si="0"/>
        <v/>
      </c>
      <c r="H34" s="10"/>
      <c r="I34" s="17">
        <f t="shared" ca="1" si="1"/>
        <v>0</v>
      </c>
      <c r="J34" s="11"/>
    </row>
    <row r="35" spans="1:10" x14ac:dyDescent="0.3">
      <c r="A35" s="11"/>
      <c r="B35" s="11"/>
      <c r="C35" s="11"/>
      <c r="D35" s="10"/>
      <c r="E35" s="10"/>
      <c r="F35" s="12"/>
      <c r="G35" s="17" t="str">
        <f t="shared" ca="1" si="0"/>
        <v/>
      </c>
      <c r="H35" s="10"/>
      <c r="I35" s="17">
        <f t="shared" ca="1" si="1"/>
        <v>0</v>
      </c>
      <c r="J35" s="11"/>
    </row>
    <row r="36" spans="1:10" x14ac:dyDescent="0.3">
      <c r="A36" s="11"/>
      <c r="B36" s="11"/>
      <c r="C36" s="11"/>
      <c r="D36" s="10"/>
      <c r="E36" s="10"/>
      <c r="F36" s="12"/>
      <c r="G36" s="17" t="str">
        <f t="shared" ref="G36:G67" ca="1" si="2">IF(E36="","",IF(H36&lt;&gt;"","Pago",IF(E36&lt;TODAY(),"Atrasado","Em Aberto")))</f>
        <v/>
      </c>
      <c r="H36" s="10"/>
      <c r="I36" s="17">
        <f t="shared" ref="I36:I67" ca="1" si="3">IF(OR(E36="",H36&lt;&gt;""),0,IF(E36&lt;TODAY(),TODAY()-E36,0))</f>
        <v>0</v>
      </c>
      <c r="J36" s="11"/>
    </row>
    <row r="37" spans="1:10" x14ac:dyDescent="0.3">
      <c r="A37" s="11"/>
      <c r="B37" s="11"/>
      <c r="C37" s="11"/>
      <c r="D37" s="10"/>
      <c r="E37" s="10"/>
      <c r="F37" s="12"/>
      <c r="G37" s="17" t="str">
        <f t="shared" ca="1" si="2"/>
        <v/>
      </c>
      <c r="H37" s="10"/>
      <c r="I37" s="17">
        <f t="shared" ca="1" si="3"/>
        <v>0</v>
      </c>
      <c r="J37" s="11"/>
    </row>
    <row r="38" spans="1:10" x14ac:dyDescent="0.3">
      <c r="A38" s="11"/>
      <c r="B38" s="11"/>
      <c r="C38" s="11"/>
      <c r="D38" s="10"/>
      <c r="E38" s="10"/>
      <c r="F38" s="12"/>
      <c r="G38" s="17" t="str">
        <f t="shared" ca="1" si="2"/>
        <v/>
      </c>
      <c r="H38" s="10"/>
      <c r="I38" s="17">
        <f t="shared" ca="1" si="3"/>
        <v>0</v>
      </c>
      <c r="J38" s="11"/>
    </row>
    <row r="39" spans="1:10" x14ac:dyDescent="0.3">
      <c r="A39" s="11"/>
      <c r="B39" s="11"/>
      <c r="C39" s="11"/>
      <c r="D39" s="10"/>
      <c r="E39" s="10"/>
      <c r="F39" s="12"/>
      <c r="G39" s="17" t="str">
        <f t="shared" ca="1" si="2"/>
        <v/>
      </c>
      <c r="H39" s="10"/>
      <c r="I39" s="17">
        <f t="shared" ca="1" si="3"/>
        <v>0</v>
      </c>
      <c r="J39" s="11"/>
    </row>
    <row r="40" spans="1:10" x14ac:dyDescent="0.3">
      <c r="A40" s="11"/>
      <c r="B40" s="11"/>
      <c r="C40" s="11"/>
      <c r="D40" s="10"/>
      <c r="E40" s="10"/>
      <c r="F40" s="12"/>
      <c r="G40" s="17" t="str">
        <f t="shared" ca="1" si="2"/>
        <v/>
      </c>
      <c r="H40" s="10"/>
      <c r="I40" s="17">
        <f t="shared" ca="1" si="3"/>
        <v>0</v>
      </c>
      <c r="J40" s="11"/>
    </row>
    <row r="41" spans="1:10" x14ac:dyDescent="0.3">
      <c r="A41" s="11"/>
      <c r="B41" s="11"/>
      <c r="C41" s="11"/>
      <c r="D41" s="10"/>
      <c r="E41" s="10"/>
      <c r="F41" s="12"/>
      <c r="G41" s="17" t="str">
        <f t="shared" ca="1" si="2"/>
        <v/>
      </c>
      <c r="H41" s="10"/>
      <c r="I41" s="17">
        <f t="shared" ca="1" si="3"/>
        <v>0</v>
      </c>
      <c r="J41" s="11"/>
    </row>
    <row r="42" spans="1:10" x14ac:dyDescent="0.3">
      <c r="A42" s="11"/>
      <c r="B42" s="11"/>
      <c r="C42" s="11"/>
      <c r="D42" s="10"/>
      <c r="E42" s="10"/>
      <c r="F42" s="12"/>
      <c r="G42" s="17" t="str">
        <f t="shared" ca="1" si="2"/>
        <v/>
      </c>
      <c r="H42" s="10"/>
      <c r="I42" s="17">
        <f t="shared" ca="1" si="3"/>
        <v>0</v>
      </c>
      <c r="J42" s="11"/>
    </row>
    <row r="43" spans="1:10" x14ac:dyDescent="0.3">
      <c r="A43" s="11"/>
      <c r="B43" s="11"/>
      <c r="C43" s="11"/>
      <c r="D43" s="10"/>
      <c r="E43" s="10"/>
      <c r="F43" s="12"/>
      <c r="G43" s="17" t="str">
        <f t="shared" ca="1" si="2"/>
        <v/>
      </c>
      <c r="H43" s="10"/>
      <c r="I43" s="17">
        <f t="shared" ca="1" si="3"/>
        <v>0</v>
      </c>
      <c r="J43" s="11"/>
    </row>
    <row r="44" spans="1:10" x14ac:dyDescent="0.3">
      <c r="A44" s="11"/>
      <c r="B44" s="11"/>
      <c r="C44" s="11"/>
      <c r="D44" s="10"/>
      <c r="E44" s="10"/>
      <c r="F44" s="12"/>
      <c r="G44" s="17" t="str">
        <f t="shared" ca="1" si="2"/>
        <v/>
      </c>
      <c r="H44" s="10"/>
      <c r="I44" s="17">
        <f t="shared" ca="1" si="3"/>
        <v>0</v>
      </c>
      <c r="J44" s="11"/>
    </row>
    <row r="45" spans="1:10" x14ac:dyDescent="0.3">
      <c r="A45" s="11"/>
      <c r="B45" s="11"/>
      <c r="C45" s="11"/>
      <c r="D45" s="10"/>
      <c r="E45" s="10"/>
      <c r="F45" s="12"/>
      <c r="G45" s="17" t="str">
        <f t="shared" ca="1" si="2"/>
        <v/>
      </c>
      <c r="H45" s="10"/>
      <c r="I45" s="17">
        <f t="shared" ca="1" si="3"/>
        <v>0</v>
      </c>
      <c r="J45" s="11"/>
    </row>
    <row r="46" spans="1:10" x14ac:dyDescent="0.3">
      <c r="A46" s="11"/>
      <c r="B46" s="11"/>
      <c r="C46" s="11"/>
      <c r="D46" s="10"/>
      <c r="E46" s="10"/>
      <c r="F46" s="12"/>
      <c r="G46" s="17" t="str">
        <f t="shared" ca="1" si="2"/>
        <v/>
      </c>
      <c r="H46" s="10"/>
      <c r="I46" s="17">
        <f t="shared" ca="1" si="3"/>
        <v>0</v>
      </c>
      <c r="J46" s="11"/>
    </row>
    <row r="47" spans="1:10" x14ac:dyDescent="0.3">
      <c r="A47" s="11"/>
      <c r="B47" s="11"/>
      <c r="C47" s="11"/>
      <c r="D47" s="10"/>
      <c r="E47" s="10"/>
      <c r="F47" s="12"/>
      <c r="G47" s="17" t="str">
        <f t="shared" ca="1" si="2"/>
        <v/>
      </c>
      <c r="H47" s="10"/>
      <c r="I47" s="17">
        <f t="shared" ca="1" si="3"/>
        <v>0</v>
      </c>
      <c r="J47" s="11"/>
    </row>
    <row r="48" spans="1:10" x14ac:dyDescent="0.3">
      <c r="A48" s="11"/>
      <c r="B48" s="11"/>
      <c r="C48" s="11"/>
      <c r="D48" s="10"/>
      <c r="E48" s="10"/>
      <c r="F48" s="12"/>
      <c r="G48" s="17" t="str">
        <f t="shared" ca="1" si="2"/>
        <v/>
      </c>
      <c r="H48" s="10"/>
      <c r="I48" s="17">
        <f t="shared" ca="1" si="3"/>
        <v>0</v>
      </c>
      <c r="J48" s="11"/>
    </row>
    <row r="49" spans="1:10" x14ac:dyDescent="0.3">
      <c r="A49" s="11"/>
      <c r="B49" s="11"/>
      <c r="C49" s="11"/>
      <c r="D49" s="10"/>
      <c r="E49" s="10"/>
      <c r="F49" s="12"/>
      <c r="G49" s="17" t="str">
        <f t="shared" ca="1" si="2"/>
        <v/>
      </c>
      <c r="H49" s="10"/>
      <c r="I49" s="17">
        <f t="shared" ca="1" si="3"/>
        <v>0</v>
      </c>
      <c r="J49" s="11"/>
    </row>
    <row r="50" spans="1:10" x14ac:dyDescent="0.3">
      <c r="A50" s="11"/>
      <c r="B50" s="11"/>
      <c r="C50" s="11"/>
      <c r="D50" s="10"/>
      <c r="E50" s="10"/>
      <c r="F50" s="12"/>
      <c r="G50" s="17" t="str">
        <f t="shared" ca="1" si="2"/>
        <v/>
      </c>
      <c r="H50" s="10"/>
      <c r="I50" s="17">
        <f t="shared" ca="1" si="3"/>
        <v>0</v>
      </c>
      <c r="J50" s="11"/>
    </row>
    <row r="51" spans="1:10" x14ac:dyDescent="0.3">
      <c r="A51" s="11"/>
      <c r="B51" s="11"/>
      <c r="C51" s="11"/>
      <c r="D51" s="10"/>
      <c r="E51" s="10"/>
      <c r="F51" s="12"/>
      <c r="G51" s="17" t="str">
        <f t="shared" ca="1" si="2"/>
        <v/>
      </c>
      <c r="H51" s="10"/>
      <c r="I51" s="17">
        <f t="shared" ca="1" si="3"/>
        <v>0</v>
      </c>
      <c r="J51" s="11"/>
    </row>
    <row r="52" spans="1:10" x14ac:dyDescent="0.3">
      <c r="A52" s="11"/>
      <c r="B52" s="11"/>
      <c r="C52" s="11"/>
      <c r="D52" s="10"/>
      <c r="E52" s="10"/>
      <c r="F52" s="12"/>
      <c r="G52" s="17" t="str">
        <f t="shared" ca="1" si="2"/>
        <v/>
      </c>
      <c r="H52" s="10"/>
      <c r="I52" s="17">
        <f t="shared" ca="1" si="3"/>
        <v>0</v>
      </c>
      <c r="J52" s="11"/>
    </row>
    <row r="53" spans="1:10" x14ac:dyDescent="0.3">
      <c r="A53" s="11"/>
      <c r="B53" s="11"/>
      <c r="C53" s="11"/>
      <c r="D53" s="10"/>
      <c r="E53" s="10"/>
      <c r="F53" s="12"/>
      <c r="G53" s="17" t="str">
        <f t="shared" ca="1" si="2"/>
        <v/>
      </c>
      <c r="H53" s="10"/>
      <c r="I53" s="17">
        <f t="shared" ca="1" si="3"/>
        <v>0</v>
      </c>
      <c r="J53" s="11"/>
    </row>
    <row r="54" spans="1:10" x14ac:dyDescent="0.3">
      <c r="A54" s="11"/>
      <c r="B54" s="11"/>
      <c r="C54" s="11"/>
      <c r="D54" s="10"/>
      <c r="E54" s="10"/>
      <c r="F54" s="12"/>
      <c r="G54" s="17" t="str">
        <f t="shared" ca="1" si="2"/>
        <v/>
      </c>
      <c r="H54" s="10"/>
      <c r="I54" s="17">
        <f t="shared" ca="1" si="3"/>
        <v>0</v>
      </c>
      <c r="J54" s="11"/>
    </row>
    <row r="55" spans="1:10" x14ac:dyDescent="0.3">
      <c r="A55" s="11"/>
      <c r="B55" s="11"/>
      <c r="C55" s="11"/>
      <c r="D55" s="10"/>
      <c r="E55" s="10"/>
      <c r="F55" s="12"/>
      <c r="G55" s="17" t="str">
        <f t="shared" ca="1" si="2"/>
        <v/>
      </c>
      <c r="H55" s="10"/>
      <c r="I55" s="17">
        <f t="shared" ca="1" si="3"/>
        <v>0</v>
      </c>
      <c r="J55" s="11"/>
    </row>
    <row r="56" spans="1:10" x14ac:dyDescent="0.3">
      <c r="A56" s="11"/>
      <c r="B56" s="11"/>
      <c r="C56" s="11"/>
      <c r="D56" s="10"/>
      <c r="E56" s="10"/>
      <c r="F56" s="12"/>
      <c r="G56" s="17" t="str">
        <f t="shared" ca="1" si="2"/>
        <v/>
      </c>
      <c r="H56" s="10"/>
      <c r="I56" s="17">
        <f t="shared" ca="1" si="3"/>
        <v>0</v>
      </c>
      <c r="J56" s="11"/>
    </row>
    <row r="57" spans="1:10" x14ac:dyDescent="0.3">
      <c r="A57" s="11"/>
      <c r="B57" s="11"/>
      <c r="C57" s="11"/>
      <c r="D57" s="10"/>
      <c r="E57" s="10"/>
      <c r="F57" s="12"/>
      <c r="G57" s="17" t="str">
        <f t="shared" ca="1" si="2"/>
        <v/>
      </c>
      <c r="H57" s="10"/>
      <c r="I57" s="17">
        <f t="shared" ca="1" si="3"/>
        <v>0</v>
      </c>
      <c r="J57" s="11"/>
    </row>
    <row r="58" spans="1:10" x14ac:dyDescent="0.3">
      <c r="A58" s="11"/>
      <c r="B58" s="11"/>
      <c r="C58" s="11"/>
      <c r="D58" s="10"/>
      <c r="E58" s="10"/>
      <c r="F58" s="12"/>
      <c r="G58" s="17" t="str">
        <f t="shared" ca="1" si="2"/>
        <v/>
      </c>
      <c r="H58" s="10"/>
      <c r="I58" s="17">
        <f t="shared" ca="1" si="3"/>
        <v>0</v>
      </c>
      <c r="J58" s="11"/>
    </row>
    <row r="59" spans="1:10" x14ac:dyDescent="0.3">
      <c r="A59" s="11"/>
      <c r="B59" s="11"/>
      <c r="C59" s="11"/>
      <c r="D59" s="10"/>
      <c r="E59" s="10"/>
      <c r="F59" s="12"/>
      <c r="G59" s="17" t="str">
        <f t="shared" ca="1" si="2"/>
        <v/>
      </c>
      <c r="H59" s="10"/>
      <c r="I59" s="17">
        <f t="shared" ca="1" si="3"/>
        <v>0</v>
      </c>
      <c r="J59" s="11"/>
    </row>
    <row r="60" spans="1:10" x14ac:dyDescent="0.3">
      <c r="A60" s="11"/>
      <c r="B60" s="11"/>
      <c r="C60" s="11"/>
      <c r="D60" s="10"/>
      <c r="E60" s="10"/>
      <c r="F60" s="12"/>
      <c r="G60" s="17" t="str">
        <f t="shared" ca="1" si="2"/>
        <v/>
      </c>
      <c r="H60" s="10"/>
      <c r="I60" s="17">
        <f t="shared" ca="1" si="3"/>
        <v>0</v>
      </c>
      <c r="J60" s="11"/>
    </row>
    <row r="61" spans="1:10" x14ac:dyDescent="0.3">
      <c r="A61" s="11"/>
      <c r="B61" s="11"/>
      <c r="C61" s="11"/>
      <c r="D61" s="10"/>
      <c r="E61" s="10"/>
      <c r="F61" s="12"/>
      <c r="G61" s="17" t="str">
        <f t="shared" ca="1" si="2"/>
        <v/>
      </c>
      <c r="H61" s="10"/>
      <c r="I61" s="17">
        <f t="shared" ca="1" si="3"/>
        <v>0</v>
      </c>
      <c r="J61" s="11"/>
    </row>
    <row r="62" spans="1:10" x14ac:dyDescent="0.3">
      <c r="A62" s="11"/>
      <c r="B62" s="11"/>
      <c r="C62" s="11"/>
      <c r="D62" s="10"/>
      <c r="E62" s="10"/>
      <c r="F62" s="12"/>
      <c r="G62" s="17" t="str">
        <f t="shared" ca="1" si="2"/>
        <v/>
      </c>
      <c r="H62" s="10"/>
      <c r="I62" s="17">
        <f t="shared" ca="1" si="3"/>
        <v>0</v>
      </c>
      <c r="J62" s="11"/>
    </row>
    <row r="63" spans="1:10" x14ac:dyDescent="0.3">
      <c r="A63" s="11"/>
      <c r="B63" s="11"/>
      <c r="C63" s="11"/>
      <c r="D63" s="10"/>
      <c r="E63" s="10"/>
      <c r="F63" s="12"/>
      <c r="G63" s="17" t="str">
        <f t="shared" ca="1" si="2"/>
        <v/>
      </c>
      <c r="H63" s="10"/>
      <c r="I63" s="17">
        <f t="shared" ca="1" si="3"/>
        <v>0</v>
      </c>
      <c r="J63" s="11"/>
    </row>
    <row r="64" spans="1:10" x14ac:dyDescent="0.3">
      <c r="A64" s="11"/>
      <c r="B64" s="11"/>
      <c r="C64" s="11"/>
      <c r="D64" s="10"/>
      <c r="E64" s="10"/>
      <c r="F64" s="12"/>
      <c r="G64" s="17" t="str">
        <f t="shared" ca="1" si="2"/>
        <v/>
      </c>
      <c r="H64" s="10"/>
      <c r="I64" s="17">
        <f t="shared" ca="1" si="3"/>
        <v>0</v>
      </c>
      <c r="J64" s="11"/>
    </row>
    <row r="65" spans="1:10" x14ac:dyDescent="0.3">
      <c r="A65" s="11"/>
      <c r="B65" s="11"/>
      <c r="C65" s="11"/>
      <c r="D65" s="10"/>
      <c r="E65" s="10"/>
      <c r="F65" s="12"/>
      <c r="G65" s="17" t="str">
        <f t="shared" ca="1" si="2"/>
        <v/>
      </c>
      <c r="H65" s="10"/>
      <c r="I65" s="17">
        <f t="shared" ca="1" si="3"/>
        <v>0</v>
      </c>
      <c r="J65" s="11"/>
    </row>
    <row r="66" spans="1:10" x14ac:dyDescent="0.3">
      <c r="A66" s="11"/>
      <c r="B66" s="11"/>
      <c r="C66" s="11"/>
      <c r="D66" s="10"/>
      <c r="E66" s="10"/>
      <c r="F66" s="12"/>
      <c r="G66" s="17" t="str">
        <f t="shared" ca="1" si="2"/>
        <v/>
      </c>
      <c r="H66" s="10"/>
      <c r="I66" s="17">
        <f t="shared" ca="1" si="3"/>
        <v>0</v>
      </c>
      <c r="J66" s="11"/>
    </row>
    <row r="67" spans="1:10" x14ac:dyDescent="0.3">
      <c r="A67" s="11"/>
      <c r="B67" s="11"/>
      <c r="C67" s="11"/>
      <c r="D67" s="10"/>
      <c r="E67" s="10"/>
      <c r="F67" s="12"/>
      <c r="G67" s="17" t="str">
        <f t="shared" ca="1" si="2"/>
        <v/>
      </c>
      <c r="H67" s="10"/>
      <c r="I67" s="17">
        <f t="shared" ca="1" si="3"/>
        <v>0</v>
      </c>
      <c r="J67" s="11"/>
    </row>
    <row r="68" spans="1:10" x14ac:dyDescent="0.3">
      <c r="A68" s="11"/>
      <c r="B68" s="11"/>
      <c r="C68" s="11"/>
      <c r="D68" s="10"/>
      <c r="E68" s="10"/>
      <c r="F68" s="12"/>
      <c r="G68" s="17" t="str">
        <f t="shared" ref="G68:G99" ca="1" si="4">IF(E68="","",IF(H68&lt;&gt;"","Pago",IF(E68&lt;TODAY(),"Atrasado","Em Aberto")))</f>
        <v/>
      </c>
      <c r="H68" s="10"/>
      <c r="I68" s="17">
        <f t="shared" ref="I68:I99" ca="1" si="5">IF(OR(E68="",H68&lt;&gt;""),0,IF(E68&lt;TODAY(),TODAY()-E68,0))</f>
        <v>0</v>
      </c>
      <c r="J68" s="11"/>
    </row>
    <row r="69" spans="1:10" x14ac:dyDescent="0.3">
      <c r="A69" s="11"/>
      <c r="B69" s="11"/>
      <c r="C69" s="11"/>
      <c r="D69" s="10"/>
      <c r="E69" s="10"/>
      <c r="F69" s="12"/>
      <c r="G69" s="17" t="str">
        <f t="shared" ca="1" si="4"/>
        <v/>
      </c>
      <c r="H69" s="10"/>
      <c r="I69" s="17">
        <f t="shared" ca="1" si="5"/>
        <v>0</v>
      </c>
      <c r="J69" s="11"/>
    </row>
    <row r="70" spans="1:10" x14ac:dyDescent="0.3">
      <c r="A70" s="11"/>
      <c r="B70" s="11"/>
      <c r="C70" s="11"/>
      <c r="D70" s="10"/>
      <c r="E70" s="10"/>
      <c r="F70" s="12"/>
      <c r="G70" s="17" t="str">
        <f t="shared" ca="1" si="4"/>
        <v/>
      </c>
      <c r="H70" s="10"/>
      <c r="I70" s="17">
        <f t="shared" ca="1" si="5"/>
        <v>0</v>
      </c>
      <c r="J70" s="11"/>
    </row>
    <row r="71" spans="1:10" x14ac:dyDescent="0.3">
      <c r="A71" s="11"/>
      <c r="B71" s="11"/>
      <c r="C71" s="11"/>
      <c r="D71" s="10"/>
      <c r="E71" s="10"/>
      <c r="F71" s="12"/>
      <c r="G71" s="17" t="str">
        <f t="shared" ca="1" si="4"/>
        <v/>
      </c>
      <c r="H71" s="10"/>
      <c r="I71" s="17">
        <f t="shared" ca="1" si="5"/>
        <v>0</v>
      </c>
      <c r="J71" s="11"/>
    </row>
    <row r="72" spans="1:10" x14ac:dyDescent="0.3">
      <c r="A72" s="11"/>
      <c r="B72" s="11"/>
      <c r="C72" s="11"/>
      <c r="D72" s="10"/>
      <c r="E72" s="10"/>
      <c r="F72" s="12"/>
      <c r="G72" s="17" t="str">
        <f t="shared" ca="1" si="4"/>
        <v/>
      </c>
      <c r="H72" s="10"/>
      <c r="I72" s="17">
        <f t="shared" ca="1" si="5"/>
        <v>0</v>
      </c>
      <c r="J72" s="11"/>
    </row>
    <row r="73" spans="1:10" x14ac:dyDescent="0.3">
      <c r="A73" s="11"/>
      <c r="B73" s="11"/>
      <c r="C73" s="11"/>
      <c r="D73" s="10"/>
      <c r="E73" s="10"/>
      <c r="F73" s="12"/>
      <c r="G73" s="17" t="str">
        <f t="shared" ca="1" si="4"/>
        <v/>
      </c>
      <c r="H73" s="10"/>
      <c r="I73" s="17">
        <f t="shared" ca="1" si="5"/>
        <v>0</v>
      </c>
      <c r="J73" s="11"/>
    </row>
    <row r="74" spans="1:10" x14ac:dyDescent="0.3">
      <c r="A74" s="11"/>
      <c r="B74" s="11"/>
      <c r="C74" s="11"/>
      <c r="D74" s="10"/>
      <c r="E74" s="10"/>
      <c r="F74" s="12"/>
      <c r="G74" s="17" t="str">
        <f t="shared" ca="1" si="4"/>
        <v/>
      </c>
      <c r="H74" s="10"/>
      <c r="I74" s="17">
        <f t="shared" ca="1" si="5"/>
        <v>0</v>
      </c>
      <c r="J74" s="11"/>
    </row>
    <row r="75" spans="1:10" x14ac:dyDescent="0.3">
      <c r="A75" s="11"/>
      <c r="B75" s="11"/>
      <c r="C75" s="11"/>
      <c r="D75" s="10"/>
      <c r="E75" s="10"/>
      <c r="F75" s="12"/>
      <c r="G75" s="17" t="str">
        <f t="shared" ca="1" si="4"/>
        <v/>
      </c>
      <c r="H75" s="10"/>
      <c r="I75" s="17">
        <f t="shared" ca="1" si="5"/>
        <v>0</v>
      </c>
      <c r="J75" s="11"/>
    </row>
    <row r="76" spans="1:10" x14ac:dyDescent="0.3">
      <c r="A76" s="11"/>
      <c r="B76" s="11"/>
      <c r="C76" s="11"/>
      <c r="D76" s="10"/>
      <c r="E76" s="10"/>
      <c r="F76" s="12"/>
      <c r="G76" s="17" t="str">
        <f t="shared" ca="1" si="4"/>
        <v/>
      </c>
      <c r="H76" s="10"/>
      <c r="I76" s="17">
        <f t="shared" ca="1" si="5"/>
        <v>0</v>
      </c>
      <c r="J76" s="11"/>
    </row>
    <row r="77" spans="1:10" x14ac:dyDescent="0.3">
      <c r="A77" s="11"/>
      <c r="B77" s="11"/>
      <c r="C77" s="11"/>
      <c r="D77" s="10"/>
      <c r="E77" s="10"/>
      <c r="F77" s="12"/>
      <c r="G77" s="17" t="str">
        <f t="shared" ca="1" si="4"/>
        <v/>
      </c>
      <c r="H77" s="10"/>
      <c r="I77" s="17">
        <f t="shared" ca="1" si="5"/>
        <v>0</v>
      </c>
      <c r="J77" s="11"/>
    </row>
    <row r="78" spans="1:10" x14ac:dyDescent="0.3">
      <c r="A78" s="11"/>
      <c r="B78" s="11"/>
      <c r="C78" s="11"/>
      <c r="D78" s="10"/>
      <c r="E78" s="10"/>
      <c r="F78" s="12"/>
      <c r="G78" s="17" t="str">
        <f t="shared" ca="1" si="4"/>
        <v/>
      </c>
      <c r="H78" s="10"/>
      <c r="I78" s="17">
        <f t="shared" ca="1" si="5"/>
        <v>0</v>
      </c>
      <c r="J78" s="11"/>
    </row>
    <row r="79" spans="1:10" x14ac:dyDescent="0.3">
      <c r="A79" s="11"/>
      <c r="B79" s="11"/>
      <c r="C79" s="11"/>
      <c r="D79" s="10"/>
      <c r="E79" s="10"/>
      <c r="F79" s="12"/>
      <c r="G79" s="17" t="str">
        <f t="shared" ca="1" si="4"/>
        <v/>
      </c>
      <c r="H79" s="10"/>
      <c r="I79" s="17">
        <f t="shared" ca="1" si="5"/>
        <v>0</v>
      </c>
      <c r="J79" s="11"/>
    </row>
    <row r="80" spans="1:10" x14ac:dyDescent="0.3">
      <c r="A80" s="11"/>
      <c r="B80" s="11"/>
      <c r="C80" s="11"/>
      <c r="D80" s="10"/>
      <c r="E80" s="10"/>
      <c r="F80" s="12"/>
      <c r="G80" s="17" t="str">
        <f t="shared" ca="1" si="4"/>
        <v/>
      </c>
      <c r="H80" s="10"/>
      <c r="I80" s="17">
        <f t="shared" ca="1" si="5"/>
        <v>0</v>
      </c>
      <c r="J80" s="11"/>
    </row>
    <row r="81" spans="1:10" x14ac:dyDescent="0.3">
      <c r="A81" s="11"/>
      <c r="B81" s="11"/>
      <c r="C81" s="11"/>
      <c r="D81" s="10"/>
      <c r="E81" s="10"/>
      <c r="F81" s="12"/>
      <c r="G81" s="17" t="str">
        <f t="shared" ca="1" si="4"/>
        <v/>
      </c>
      <c r="H81" s="10"/>
      <c r="I81" s="17">
        <f t="shared" ca="1" si="5"/>
        <v>0</v>
      </c>
      <c r="J81" s="11"/>
    </row>
    <row r="82" spans="1:10" x14ac:dyDescent="0.3">
      <c r="A82" s="11"/>
      <c r="B82" s="11"/>
      <c r="C82" s="11"/>
      <c r="D82" s="10"/>
      <c r="E82" s="10"/>
      <c r="F82" s="12"/>
      <c r="G82" s="17" t="str">
        <f t="shared" ca="1" si="4"/>
        <v/>
      </c>
      <c r="H82" s="10"/>
      <c r="I82" s="17">
        <f t="shared" ca="1" si="5"/>
        <v>0</v>
      </c>
      <c r="J82" s="11"/>
    </row>
    <row r="83" spans="1:10" x14ac:dyDescent="0.3">
      <c r="A83" s="11"/>
      <c r="B83" s="11"/>
      <c r="C83" s="11"/>
      <c r="D83" s="10"/>
      <c r="E83" s="10"/>
      <c r="F83" s="12"/>
      <c r="G83" s="17" t="str">
        <f t="shared" ca="1" si="4"/>
        <v/>
      </c>
      <c r="H83" s="10"/>
      <c r="I83" s="17">
        <f t="shared" ca="1" si="5"/>
        <v>0</v>
      </c>
      <c r="J83" s="11"/>
    </row>
    <row r="85" spans="1:10" x14ac:dyDescent="0.3">
      <c r="A85" s="6" t="s">
        <v>48</v>
      </c>
      <c r="F85" s="18">
        <f ca="1">SUMIFS(F4:F83,G4:G83,"Em Aberto")</f>
        <v>3200</v>
      </c>
    </row>
    <row r="86" spans="1:10" x14ac:dyDescent="0.3">
      <c r="A86" s="6" t="s">
        <v>49</v>
      </c>
      <c r="F86" s="19">
        <f ca="1">SUMIFS(F4:F83,G4:G83,"Atrasado")</f>
        <v>0</v>
      </c>
    </row>
    <row r="87" spans="1:10" x14ac:dyDescent="0.3">
      <c r="A87" s="6" t="s">
        <v>50</v>
      </c>
      <c r="F87" s="18">
        <f ca="1">SUMIFS(F4:F83,G4:G83,"Pago")</f>
        <v>0</v>
      </c>
    </row>
  </sheetData>
  <mergeCells count="1">
    <mergeCell ref="A1:J1"/>
  </mergeCells>
  <conditionalFormatting sqref="G4:G83">
    <cfRule type="cellIs" dxfId="5" priority="1" operator="equal">
      <formula>"Atrasado"</formula>
    </cfRule>
  </conditionalFormatting>
  <conditionalFormatting sqref="A4:J83">
    <cfRule type="expression" dxfId="4" priority="2">
      <formula>$G4="Atrasado"</formula>
    </cfRule>
  </conditionalFormatting>
  <dataValidations count="1">
    <dataValidation type="list" allowBlank="1" sqref="C4:C83">
      <formula1>"Mercadorias/Fornecedores,Aluguel,Salarios e Encargos,Energia Eletrica,Agua,Telefone/Internet,Impostos,Manutencao,Embalagens,Outros"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showGridLines="0"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22" customWidth="1"/>
    <col min="2" max="2" width="26" customWidth="1"/>
    <col min="3" max="3" width="20" customWidth="1"/>
    <col min="4" max="4" width="14" customWidth="1"/>
    <col min="5" max="5" width="16" customWidth="1"/>
    <col min="6" max="6" width="14" customWidth="1"/>
    <col min="7" max="7" width="10" customWidth="1"/>
    <col min="8" max="8" width="14" customWidth="1"/>
    <col min="9" max="9" width="13" customWidth="1"/>
    <col min="10" max="10" width="14" customWidth="1"/>
    <col min="11" max="11" width="26" customWidth="1"/>
  </cols>
  <sheetData>
    <row r="1" spans="1:11" ht="25.95" customHeight="1" x14ac:dyDescent="0.3">
      <c r="A1" s="33" t="s">
        <v>51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ht="46.8" x14ac:dyDescent="0.3">
      <c r="A3" s="9" t="s">
        <v>52</v>
      </c>
      <c r="B3" s="9" t="s">
        <v>23</v>
      </c>
      <c r="C3" s="9" t="s">
        <v>24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38</v>
      </c>
      <c r="J3" s="9" t="s">
        <v>58</v>
      </c>
      <c r="K3" s="9" t="s">
        <v>41</v>
      </c>
    </row>
    <row r="4" spans="1:11" x14ac:dyDescent="0.3">
      <c r="A4" s="11" t="s">
        <v>59</v>
      </c>
      <c r="B4" s="11" t="s">
        <v>60</v>
      </c>
      <c r="C4" s="11" t="s">
        <v>61</v>
      </c>
      <c r="D4" s="10" t="s">
        <v>62</v>
      </c>
      <c r="E4" s="10" t="s">
        <v>63</v>
      </c>
      <c r="F4" s="12">
        <v>1500</v>
      </c>
      <c r="G4" s="20">
        <v>2.9899999999999999E-2</v>
      </c>
      <c r="H4" s="13">
        <f t="shared" ref="H4:H35" si="0">IF(F4="","",F4*(1-G4))</f>
        <v>1455.1499999999999</v>
      </c>
      <c r="I4" s="17" t="str">
        <f t="shared" ref="I4:I35" ca="1" si="1">IF(E4="","",IF(J4&lt;&gt;"","Recebido",IF(E4&lt;TODAY(),"Atrasado","Em Aberto")))</f>
        <v>Em Aberto</v>
      </c>
      <c r="J4" s="10"/>
      <c r="K4" s="11" t="s">
        <v>64</v>
      </c>
    </row>
    <row r="5" spans="1:11" x14ac:dyDescent="0.3">
      <c r="A5" s="11"/>
      <c r="B5" s="11"/>
      <c r="C5" s="11"/>
      <c r="D5" s="10"/>
      <c r="E5" s="10"/>
      <c r="F5" s="12"/>
      <c r="G5" s="20"/>
      <c r="H5" s="13" t="str">
        <f t="shared" si="0"/>
        <v/>
      </c>
      <c r="I5" s="17" t="str">
        <f t="shared" ca="1" si="1"/>
        <v/>
      </c>
      <c r="J5" s="10"/>
      <c r="K5" s="11"/>
    </row>
    <row r="6" spans="1:11" x14ac:dyDescent="0.3">
      <c r="A6" s="11"/>
      <c r="B6" s="11"/>
      <c r="C6" s="11"/>
      <c r="D6" s="10"/>
      <c r="E6" s="10"/>
      <c r="F6" s="12"/>
      <c r="G6" s="20"/>
      <c r="H6" s="13" t="str">
        <f t="shared" si="0"/>
        <v/>
      </c>
      <c r="I6" s="17" t="str">
        <f t="shared" ca="1" si="1"/>
        <v/>
      </c>
      <c r="J6" s="10"/>
      <c r="K6" s="11"/>
    </row>
    <row r="7" spans="1:11" x14ac:dyDescent="0.3">
      <c r="A7" s="11"/>
      <c r="B7" s="11"/>
      <c r="C7" s="11"/>
      <c r="D7" s="10"/>
      <c r="E7" s="10"/>
      <c r="F7" s="12"/>
      <c r="G7" s="20"/>
      <c r="H7" s="13" t="str">
        <f t="shared" si="0"/>
        <v/>
      </c>
      <c r="I7" s="17" t="str">
        <f t="shared" ca="1" si="1"/>
        <v/>
      </c>
      <c r="J7" s="10"/>
      <c r="K7" s="11"/>
    </row>
    <row r="8" spans="1:11" x14ac:dyDescent="0.3">
      <c r="A8" s="11"/>
      <c r="B8" s="11"/>
      <c r="C8" s="11"/>
      <c r="D8" s="10"/>
      <c r="E8" s="10"/>
      <c r="F8" s="12"/>
      <c r="G8" s="20"/>
      <c r="H8" s="13" t="str">
        <f t="shared" si="0"/>
        <v/>
      </c>
      <c r="I8" s="17" t="str">
        <f t="shared" ca="1" si="1"/>
        <v/>
      </c>
      <c r="J8" s="10"/>
      <c r="K8" s="11"/>
    </row>
    <row r="9" spans="1:11" x14ac:dyDescent="0.3">
      <c r="A9" s="11"/>
      <c r="B9" s="11"/>
      <c r="C9" s="11"/>
      <c r="D9" s="10"/>
      <c r="E9" s="10"/>
      <c r="F9" s="12"/>
      <c r="G9" s="20"/>
      <c r="H9" s="13" t="str">
        <f t="shared" si="0"/>
        <v/>
      </c>
      <c r="I9" s="17" t="str">
        <f t="shared" ca="1" si="1"/>
        <v/>
      </c>
      <c r="J9" s="10"/>
      <c r="K9" s="11"/>
    </row>
    <row r="10" spans="1:11" x14ac:dyDescent="0.3">
      <c r="A10" s="11"/>
      <c r="B10" s="11"/>
      <c r="C10" s="11"/>
      <c r="D10" s="10"/>
      <c r="E10" s="10"/>
      <c r="F10" s="12"/>
      <c r="G10" s="20"/>
      <c r="H10" s="13" t="str">
        <f t="shared" si="0"/>
        <v/>
      </c>
      <c r="I10" s="17" t="str">
        <f t="shared" ca="1" si="1"/>
        <v/>
      </c>
      <c r="J10" s="10"/>
      <c r="K10" s="11"/>
    </row>
    <row r="11" spans="1:11" x14ac:dyDescent="0.3">
      <c r="A11" s="11"/>
      <c r="B11" s="11"/>
      <c r="C11" s="11"/>
      <c r="D11" s="10"/>
      <c r="E11" s="10"/>
      <c r="F11" s="12"/>
      <c r="G11" s="20"/>
      <c r="H11" s="13" t="str">
        <f t="shared" si="0"/>
        <v/>
      </c>
      <c r="I11" s="17" t="str">
        <f t="shared" ca="1" si="1"/>
        <v/>
      </c>
      <c r="J11" s="10"/>
      <c r="K11" s="11"/>
    </row>
    <row r="12" spans="1:11" x14ac:dyDescent="0.3">
      <c r="A12" s="11"/>
      <c r="B12" s="11"/>
      <c r="C12" s="11"/>
      <c r="D12" s="10"/>
      <c r="E12" s="10"/>
      <c r="F12" s="12"/>
      <c r="G12" s="20"/>
      <c r="H12" s="13" t="str">
        <f t="shared" si="0"/>
        <v/>
      </c>
      <c r="I12" s="17" t="str">
        <f t="shared" ca="1" si="1"/>
        <v/>
      </c>
      <c r="J12" s="10"/>
      <c r="K12" s="11"/>
    </row>
    <row r="13" spans="1:11" x14ac:dyDescent="0.3">
      <c r="A13" s="11"/>
      <c r="B13" s="11"/>
      <c r="C13" s="11"/>
      <c r="D13" s="10"/>
      <c r="E13" s="10"/>
      <c r="F13" s="12"/>
      <c r="G13" s="20"/>
      <c r="H13" s="13" t="str">
        <f t="shared" si="0"/>
        <v/>
      </c>
      <c r="I13" s="17" t="str">
        <f t="shared" ca="1" si="1"/>
        <v/>
      </c>
      <c r="J13" s="10"/>
      <c r="K13" s="11"/>
    </row>
    <row r="14" spans="1:11" x14ac:dyDescent="0.3">
      <c r="A14" s="11"/>
      <c r="B14" s="11"/>
      <c r="C14" s="11"/>
      <c r="D14" s="10"/>
      <c r="E14" s="10"/>
      <c r="F14" s="12"/>
      <c r="G14" s="20"/>
      <c r="H14" s="13" t="str">
        <f t="shared" si="0"/>
        <v/>
      </c>
      <c r="I14" s="17" t="str">
        <f t="shared" ca="1" si="1"/>
        <v/>
      </c>
      <c r="J14" s="10"/>
      <c r="K14" s="11"/>
    </row>
    <row r="15" spans="1:11" x14ac:dyDescent="0.3">
      <c r="A15" s="11"/>
      <c r="B15" s="11"/>
      <c r="C15" s="11"/>
      <c r="D15" s="10"/>
      <c r="E15" s="10"/>
      <c r="F15" s="12"/>
      <c r="G15" s="20"/>
      <c r="H15" s="13" t="str">
        <f t="shared" si="0"/>
        <v/>
      </c>
      <c r="I15" s="17" t="str">
        <f t="shared" ca="1" si="1"/>
        <v/>
      </c>
      <c r="J15" s="10"/>
      <c r="K15" s="11"/>
    </row>
    <row r="16" spans="1:11" x14ac:dyDescent="0.3">
      <c r="A16" s="11"/>
      <c r="B16" s="11"/>
      <c r="C16" s="11"/>
      <c r="D16" s="10"/>
      <c r="E16" s="10"/>
      <c r="F16" s="12"/>
      <c r="G16" s="20"/>
      <c r="H16" s="13" t="str">
        <f t="shared" si="0"/>
        <v/>
      </c>
      <c r="I16" s="17" t="str">
        <f t="shared" ca="1" si="1"/>
        <v/>
      </c>
      <c r="J16" s="10"/>
      <c r="K16" s="11"/>
    </row>
    <row r="17" spans="1:11" x14ac:dyDescent="0.3">
      <c r="A17" s="11"/>
      <c r="B17" s="11"/>
      <c r="C17" s="11"/>
      <c r="D17" s="10"/>
      <c r="E17" s="10"/>
      <c r="F17" s="12"/>
      <c r="G17" s="20"/>
      <c r="H17" s="13" t="str">
        <f t="shared" si="0"/>
        <v/>
      </c>
      <c r="I17" s="17" t="str">
        <f t="shared" ca="1" si="1"/>
        <v/>
      </c>
      <c r="J17" s="10"/>
      <c r="K17" s="11"/>
    </row>
    <row r="18" spans="1:11" x14ac:dyDescent="0.3">
      <c r="A18" s="11"/>
      <c r="B18" s="11"/>
      <c r="C18" s="11"/>
      <c r="D18" s="10"/>
      <c r="E18" s="10"/>
      <c r="F18" s="12"/>
      <c r="G18" s="20"/>
      <c r="H18" s="13" t="str">
        <f t="shared" si="0"/>
        <v/>
      </c>
      <c r="I18" s="17" t="str">
        <f t="shared" ca="1" si="1"/>
        <v/>
      </c>
      <c r="J18" s="10"/>
      <c r="K18" s="11"/>
    </row>
    <row r="19" spans="1:11" x14ac:dyDescent="0.3">
      <c r="A19" s="11"/>
      <c r="B19" s="11"/>
      <c r="C19" s="11"/>
      <c r="D19" s="10"/>
      <c r="E19" s="10"/>
      <c r="F19" s="12"/>
      <c r="G19" s="20"/>
      <c r="H19" s="13" t="str">
        <f t="shared" si="0"/>
        <v/>
      </c>
      <c r="I19" s="17" t="str">
        <f t="shared" ca="1" si="1"/>
        <v/>
      </c>
      <c r="J19" s="10"/>
      <c r="K19" s="11"/>
    </row>
    <row r="20" spans="1:11" x14ac:dyDescent="0.3">
      <c r="A20" s="11"/>
      <c r="B20" s="11"/>
      <c r="C20" s="11"/>
      <c r="D20" s="10"/>
      <c r="E20" s="10"/>
      <c r="F20" s="12"/>
      <c r="G20" s="20"/>
      <c r="H20" s="13" t="str">
        <f t="shared" si="0"/>
        <v/>
      </c>
      <c r="I20" s="17" t="str">
        <f t="shared" ca="1" si="1"/>
        <v/>
      </c>
      <c r="J20" s="10"/>
      <c r="K20" s="11"/>
    </row>
    <row r="21" spans="1:11" x14ac:dyDescent="0.3">
      <c r="A21" s="11"/>
      <c r="B21" s="11"/>
      <c r="C21" s="11"/>
      <c r="D21" s="10"/>
      <c r="E21" s="10"/>
      <c r="F21" s="12"/>
      <c r="G21" s="20"/>
      <c r="H21" s="13" t="str">
        <f t="shared" si="0"/>
        <v/>
      </c>
      <c r="I21" s="17" t="str">
        <f t="shared" ca="1" si="1"/>
        <v/>
      </c>
      <c r="J21" s="10"/>
      <c r="K21" s="11"/>
    </row>
    <row r="22" spans="1:11" x14ac:dyDescent="0.3">
      <c r="A22" s="11"/>
      <c r="B22" s="11"/>
      <c r="C22" s="11"/>
      <c r="D22" s="10"/>
      <c r="E22" s="10"/>
      <c r="F22" s="12"/>
      <c r="G22" s="20"/>
      <c r="H22" s="13" t="str">
        <f t="shared" si="0"/>
        <v/>
      </c>
      <c r="I22" s="17" t="str">
        <f t="shared" ca="1" si="1"/>
        <v/>
      </c>
      <c r="J22" s="10"/>
      <c r="K22" s="11"/>
    </row>
    <row r="23" spans="1:11" x14ac:dyDescent="0.3">
      <c r="A23" s="11"/>
      <c r="B23" s="11"/>
      <c r="C23" s="11"/>
      <c r="D23" s="10"/>
      <c r="E23" s="10"/>
      <c r="F23" s="12"/>
      <c r="G23" s="20"/>
      <c r="H23" s="13" t="str">
        <f t="shared" si="0"/>
        <v/>
      </c>
      <c r="I23" s="17" t="str">
        <f t="shared" ca="1" si="1"/>
        <v/>
      </c>
      <c r="J23" s="10"/>
      <c r="K23" s="11"/>
    </row>
    <row r="24" spans="1:11" x14ac:dyDescent="0.3">
      <c r="A24" s="11"/>
      <c r="B24" s="11"/>
      <c r="C24" s="11"/>
      <c r="D24" s="10"/>
      <c r="E24" s="10"/>
      <c r="F24" s="12"/>
      <c r="G24" s="20"/>
      <c r="H24" s="13" t="str">
        <f t="shared" si="0"/>
        <v/>
      </c>
      <c r="I24" s="17" t="str">
        <f t="shared" ca="1" si="1"/>
        <v/>
      </c>
      <c r="J24" s="10"/>
      <c r="K24" s="11"/>
    </row>
    <row r="25" spans="1:11" x14ac:dyDescent="0.3">
      <c r="A25" s="11"/>
      <c r="B25" s="11"/>
      <c r="C25" s="11"/>
      <c r="D25" s="10"/>
      <c r="E25" s="10"/>
      <c r="F25" s="12"/>
      <c r="G25" s="20"/>
      <c r="H25" s="13" t="str">
        <f t="shared" si="0"/>
        <v/>
      </c>
      <c r="I25" s="17" t="str">
        <f t="shared" ca="1" si="1"/>
        <v/>
      </c>
      <c r="J25" s="10"/>
      <c r="K25" s="11"/>
    </row>
    <row r="26" spans="1:11" x14ac:dyDescent="0.3">
      <c r="A26" s="11"/>
      <c r="B26" s="11"/>
      <c r="C26" s="11"/>
      <c r="D26" s="10"/>
      <c r="E26" s="10"/>
      <c r="F26" s="12"/>
      <c r="G26" s="20"/>
      <c r="H26" s="13" t="str">
        <f t="shared" si="0"/>
        <v/>
      </c>
      <c r="I26" s="17" t="str">
        <f t="shared" ca="1" si="1"/>
        <v/>
      </c>
      <c r="J26" s="10"/>
      <c r="K26" s="11"/>
    </row>
    <row r="27" spans="1:11" x14ac:dyDescent="0.3">
      <c r="A27" s="11"/>
      <c r="B27" s="11"/>
      <c r="C27" s="11"/>
      <c r="D27" s="10"/>
      <c r="E27" s="10"/>
      <c r="F27" s="12"/>
      <c r="G27" s="20"/>
      <c r="H27" s="13" t="str">
        <f t="shared" si="0"/>
        <v/>
      </c>
      <c r="I27" s="17" t="str">
        <f t="shared" ca="1" si="1"/>
        <v/>
      </c>
      <c r="J27" s="10"/>
      <c r="K27" s="11"/>
    </row>
    <row r="28" spans="1:11" x14ac:dyDescent="0.3">
      <c r="A28" s="11"/>
      <c r="B28" s="11"/>
      <c r="C28" s="11"/>
      <c r="D28" s="10"/>
      <c r="E28" s="10"/>
      <c r="F28" s="12"/>
      <c r="G28" s="20"/>
      <c r="H28" s="13" t="str">
        <f t="shared" si="0"/>
        <v/>
      </c>
      <c r="I28" s="17" t="str">
        <f t="shared" ca="1" si="1"/>
        <v/>
      </c>
      <c r="J28" s="10"/>
      <c r="K28" s="11"/>
    </row>
    <row r="29" spans="1:11" x14ac:dyDescent="0.3">
      <c r="A29" s="11"/>
      <c r="B29" s="11"/>
      <c r="C29" s="11"/>
      <c r="D29" s="10"/>
      <c r="E29" s="10"/>
      <c r="F29" s="12"/>
      <c r="G29" s="20"/>
      <c r="H29" s="13" t="str">
        <f t="shared" si="0"/>
        <v/>
      </c>
      <c r="I29" s="17" t="str">
        <f t="shared" ca="1" si="1"/>
        <v/>
      </c>
      <c r="J29" s="10"/>
      <c r="K29" s="11"/>
    </row>
    <row r="30" spans="1:11" x14ac:dyDescent="0.3">
      <c r="A30" s="11"/>
      <c r="B30" s="11"/>
      <c r="C30" s="11"/>
      <c r="D30" s="10"/>
      <c r="E30" s="10"/>
      <c r="F30" s="12"/>
      <c r="G30" s="20"/>
      <c r="H30" s="13" t="str">
        <f t="shared" si="0"/>
        <v/>
      </c>
      <c r="I30" s="17" t="str">
        <f t="shared" ca="1" si="1"/>
        <v/>
      </c>
      <c r="J30" s="10"/>
      <c r="K30" s="11"/>
    </row>
    <row r="31" spans="1:11" x14ac:dyDescent="0.3">
      <c r="A31" s="11"/>
      <c r="B31" s="11"/>
      <c r="C31" s="11"/>
      <c r="D31" s="10"/>
      <c r="E31" s="10"/>
      <c r="F31" s="12"/>
      <c r="G31" s="20"/>
      <c r="H31" s="13" t="str">
        <f t="shared" si="0"/>
        <v/>
      </c>
      <c r="I31" s="17" t="str">
        <f t="shared" ca="1" si="1"/>
        <v/>
      </c>
      <c r="J31" s="10"/>
      <c r="K31" s="11"/>
    </row>
    <row r="32" spans="1:11" x14ac:dyDescent="0.3">
      <c r="A32" s="11"/>
      <c r="B32" s="11"/>
      <c r="C32" s="11"/>
      <c r="D32" s="10"/>
      <c r="E32" s="10"/>
      <c r="F32" s="12"/>
      <c r="G32" s="20"/>
      <c r="H32" s="13" t="str">
        <f t="shared" si="0"/>
        <v/>
      </c>
      <c r="I32" s="17" t="str">
        <f t="shared" ca="1" si="1"/>
        <v/>
      </c>
      <c r="J32" s="10"/>
      <c r="K32" s="11"/>
    </row>
    <row r="33" spans="1:11" x14ac:dyDescent="0.3">
      <c r="A33" s="11"/>
      <c r="B33" s="11"/>
      <c r="C33" s="11"/>
      <c r="D33" s="10"/>
      <c r="E33" s="10"/>
      <c r="F33" s="12"/>
      <c r="G33" s="20"/>
      <c r="H33" s="13" t="str">
        <f t="shared" si="0"/>
        <v/>
      </c>
      <c r="I33" s="17" t="str">
        <f t="shared" ca="1" si="1"/>
        <v/>
      </c>
      <c r="J33" s="10"/>
      <c r="K33" s="11"/>
    </row>
    <row r="34" spans="1:11" x14ac:dyDescent="0.3">
      <c r="A34" s="11"/>
      <c r="B34" s="11"/>
      <c r="C34" s="11"/>
      <c r="D34" s="10"/>
      <c r="E34" s="10"/>
      <c r="F34" s="12"/>
      <c r="G34" s="20"/>
      <c r="H34" s="13" t="str">
        <f t="shared" si="0"/>
        <v/>
      </c>
      <c r="I34" s="17" t="str">
        <f t="shared" ca="1" si="1"/>
        <v/>
      </c>
      <c r="J34" s="10"/>
      <c r="K34" s="11"/>
    </row>
    <row r="35" spans="1:11" x14ac:dyDescent="0.3">
      <c r="A35" s="11"/>
      <c r="B35" s="11"/>
      <c r="C35" s="11"/>
      <c r="D35" s="10"/>
      <c r="E35" s="10"/>
      <c r="F35" s="12"/>
      <c r="G35" s="20"/>
      <c r="H35" s="13" t="str">
        <f t="shared" si="0"/>
        <v/>
      </c>
      <c r="I35" s="17" t="str">
        <f t="shared" ca="1" si="1"/>
        <v/>
      </c>
      <c r="J35" s="10"/>
      <c r="K35" s="11"/>
    </row>
    <row r="36" spans="1:11" x14ac:dyDescent="0.3">
      <c r="A36" s="11"/>
      <c r="B36" s="11"/>
      <c r="C36" s="11"/>
      <c r="D36" s="10"/>
      <c r="E36" s="10"/>
      <c r="F36" s="12"/>
      <c r="G36" s="20"/>
      <c r="H36" s="13" t="str">
        <f t="shared" ref="H36:H67" si="2">IF(F36="","",F36*(1-G36))</f>
        <v/>
      </c>
      <c r="I36" s="17" t="str">
        <f t="shared" ref="I36:I67" ca="1" si="3">IF(E36="","",IF(J36&lt;&gt;"","Recebido",IF(E36&lt;TODAY(),"Atrasado","Em Aberto")))</f>
        <v/>
      </c>
      <c r="J36" s="10"/>
      <c r="K36" s="11"/>
    </row>
    <row r="37" spans="1:11" x14ac:dyDescent="0.3">
      <c r="A37" s="11"/>
      <c r="B37" s="11"/>
      <c r="C37" s="11"/>
      <c r="D37" s="10"/>
      <c r="E37" s="10"/>
      <c r="F37" s="12"/>
      <c r="G37" s="20"/>
      <c r="H37" s="13" t="str">
        <f t="shared" si="2"/>
        <v/>
      </c>
      <c r="I37" s="17" t="str">
        <f t="shared" ca="1" si="3"/>
        <v/>
      </c>
      <c r="J37" s="10"/>
      <c r="K37" s="11"/>
    </row>
    <row r="38" spans="1:11" x14ac:dyDescent="0.3">
      <c r="A38" s="11"/>
      <c r="B38" s="11"/>
      <c r="C38" s="11"/>
      <c r="D38" s="10"/>
      <c r="E38" s="10"/>
      <c r="F38" s="12"/>
      <c r="G38" s="20"/>
      <c r="H38" s="13" t="str">
        <f t="shared" si="2"/>
        <v/>
      </c>
      <c r="I38" s="17" t="str">
        <f t="shared" ca="1" si="3"/>
        <v/>
      </c>
      <c r="J38" s="10"/>
      <c r="K38" s="11"/>
    </row>
    <row r="39" spans="1:11" x14ac:dyDescent="0.3">
      <c r="A39" s="11"/>
      <c r="B39" s="11"/>
      <c r="C39" s="11"/>
      <c r="D39" s="10"/>
      <c r="E39" s="10"/>
      <c r="F39" s="12"/>
      <c r="G39" s="20"/>
      <c r="H39" s="13" t="str">
        <f t="shared" si="2"/>
        <v/>
      </c>
      <c r="I39" s="17" t="str">
        <f t="shared" ca="1" si="3"/>
        <v/>
      </c>
      <c r="J39" s="10"/>
      <c r="K39" s="11"/>
    </row>
    <row r="40" spans="1:11" x14ac:dyDescent="0.3">
      <c r="A40" s="11"/>
      <c r="B40" s="11"/>
      <c r="C40" s="11"/>
      <c r="D40" s="10"/>
      <c r="E40" s="10"/>
      <c r="F40" s="12"/>
      <c r="G40" s="20"/>
      <c r="H40" s="13" t="str">
        <f t="shared" si="2"/>
        <v/>
      </c>
      <c r="I40" s="17" t="str">
        <f t="shared" ca="1" si="3"/>
        <v/>
      </c>
      <c r="J40" s="10"/>
      <c r="K40" s="11"/>
    </row>
    <row r="41" spans="1:11" x14ac:dyDescent="0.3">
      <c r="A41" s="11"/>
      <c r="B41" s="11"/>
      <c r="C41" s="11"/>
      <c r="D41" s="10"/>
      <c r="E41" s="10"/>
      <c r="F41" s="12"/>
      <c r="G41" s="20"/>
      <c r="H41" s="13" t="str">
        <f t="shared" si="2"/>
        <v/>
      </c>
      <c r="I41" s="17" t="str">
        <f t="shared" ca="1" si="3"/>
        <v/>
      </c>
      <c r="J41" s="10"/>
      <c r="K41" s="11"/>
    </row>
    <row r="42" spans="1:11" x14ac:dyDescent="0.3">
      <c r="A42" s="11"/>
      <c r="B42" s="11"/>
      <c r="C42" s="11"/>
      <c r="D42" s="10"/>
      <c r="E42" s="10"/>
      <c r="F42" s="12"/>
      <c r="G42" s="20"/>
      <c r="H42" s="13" t="str">
        <f t="shared" si="2"/>
        <v/>
      </c>
      <c r="I42" s="17" t="str">
        <f t="shared" ca="1" si="3"/>
        <v/>
      </c>
      <c r="J42" s="10"/>
      <c r="K42" s="11"/>
    </row>
    <row r="43" spans="1:11" x14ac:dyDescent="0.3">
      <c r="A43" s="11"/>
      <c r="B43" s="11"/>
      <c r="C43" s="11"/>
      <c r="D43" s="10"/>
      <c r="E43" s="10"/>
      <c r="F43" s="12"/>
      <c r="G43" s="20"/>
      <c r="H43" s="13" t="str">
        <f t="shared" si="2"/>
        <v/>
      </c>
      <c r="I43" s="17" t="str">
        <f t="shared" ca="1" si="3"/>
        <v/>
      </c>
      <c r="J43" s="10"/>
      <c r="K43" s="11"/>
    </row>
    <row r="44" spans="1:11" x14ac:dyDescent="0.3">
      <c r="A44" s="11"/>
      <c r="B44" s="11"/>
      <c r="C44" s="11"/>
      <c r="D44" s="10"/>
      <c r="E44" s="10"/>
      <c r="F44" s="12"/>
      <c r="G44" s="20"/>
      <c r="H44" s="13" t="str">
        <f t="shared" si="2"/>
        <v/>
      </c>
      <c r="I44" s="17" t="str">
        <f t="shared" ca="1" si="3"/>
        <v/>
      </c>
      <c r="J44" s="10"/>
      <c r="K44" s="11"/>
    </row>
    <row r="45" spans="1:11" x14ac:dyDescent="0.3">
      <c r="A45" s="11"/>
      <c r="B45" s="11"/>
      <c r="C45" s="11"/>
      <c r="D45" s="10"/>
      <c r="E45" s="10"/>
      <c r="F45" s="12"/>
      <c r="G45" s="20"/>
      <c r="H45" s="13" t="str">
        <f t="shared" si="2"/>
        <v/>
      </c>
      <c r="I45" s="17" t="str">
        <f t="shared" ca="1" si="3"/>
        <v/>
      </c>
      <c r="J45" s="10"/>
      <c r="K45" s="11"/>
    </row>
    <row r="46" spans="1:11" x14ac:dyDescent="0.3">
      <c r="A46" s="11"/>
      <c r="B46" s="11"/>
      <c r="C46" s="11"/>
      <c r="D46" s="10"/>
      <c r="E46" s="10"/>
      <c r="F46" s="12"/>
      <c r="G46" s="20"/>
      <c r="H46" s="13" t="str">
        <f t="shared" si="2"/>
        <v/>
      </c>
      <c r="I46" s="17" t="str">
        <f t="shared" ca="1" si="3"/>
        <v/>
      </c>
      <c r="J46" s="10"/>
      <c r="K46" s="11"/>
    </row>
    <row r="47" spans="1:11" x14ac:dyDescent="0.3">
      <c r="A47" s="11"/>
      <c r="B47" s="11"/>
      <c r="C47" s="11"/>
      <c r="D47" s="10"/>
      <c r="E47" s="10"/>
      <c r="F47" s="12"/>
      <c r="G47" s="20"/>
      <c r="H47" s="13" t="str">
        <f t="shared" si="2"/>
        <v/>
      </c>
      <c r="I47" s="17" t="str">
        <f t="shared" ca="1" si="3"/>
        <v/>
      </c>
      <c r="J47" s="10"/>
      <c r="K47" s="11"/>
    </row>
    <row r="48" spans="1:11" x14ac:dyDescent="0.3">
      <c r="A48" s="11"/>
      <c r="B48" s="11"/>
      <c r="C48" s="11"/>
      <c r="D48" s="10"/>
      <c r="E48" s="10"/>
      <c r="F48" s="12"/>
      <c r="G48" s="20"/>
      <c r="H48" s="13" t="str">
        <f t="shared" si="2"/>
        <v/>
      </c>
      <c r="I48" s="17" t="str">
        <f t="shared" ca="1" si="3"/>
        <v/>
      </c>
      <c r="J48" s="10"/>
      <c r="K48" s="11"/>
    </row>
    <row r="49" spans="1:11" x14ac:dyDescent="0.3">
      <c r="A49" s="11"/>
      <c r="B49" s="11"/>
      <c r="C49" s="11"/>
      <c r="D49" s="10"/>
      <c r="E49" s="10"/>
      <c r="F49" s="12"/>
      <c r="G49" s="20"/>
      <c r="H49" s="13" t="str">
        <f t="shared" si="2"/>
        <v/>
      </c>
      <c r="I49" s="17" t="str">
        <f t="shared" ca="1" si="3"/>
        <v/>
      </c>
      <c r="J49" s="10"/>
      <c r="K49" s="11"/>
    </row>
    <row r="50" spans="1:11" x14ac:dyDescent="0.3">
      <c r="A50" s="11"/>
      <c r="B50" s="11"/>
      <c r="C50" s="11"/>
      <c r="D50" s="10"/>
      <c r="E50" s="10"/>
      <c r="F50" s="12"/>
      <c r="G50" s="20"/>
      <c r="H50" s="13" t="str">
        <f t="shared" si="2"/>
        <v/>
      </c>
      <c r="I50" s="17" t="str">
        <f t="shared" ca="1" si="3"/>
        <v/>
      </c>
      <c r="J50" s="10"/>
      <c r="K50" s="11"/>
    </row>
    <row r="51" spans="1:11" x14ac:dyDescent="0.3">
      <c r="A51" s="11"/>
      <c r="B51" s="11"/>
      <c r="C51" s="11"/>
      <c r="D51" s="10"/>
      <c r="E51" s="10"/>
      <c r="F51" s="12"/>
      <c r="G51" s="20"/>
      <c r="H51" s="13" t="str">
        <f t="shared" si="2"/>
        <v/>
      </c>
      <c r="I51" s="17" t="str">
        <f t="shared" ca="1" si="3"/>
        <v/>
      </c>
      <c r="J51" s="10"/>
      <c r="K51" s="11"/>
    </row>
    <row r="52" spans="1:11" x14ac:dyDescent="0.3">
      <c r="A52" s="11"/>
      <c r="B52" s="11"/>
      <c r="C52" s="11"/>
      <c r="D52" s="10"/>
      <c r="E52" s="10"/>
      <c r="F52" s="12"/>
      <c r="G52" s="20"/>
      <c r="H52" s="13" t="str">
        <f t="shared" si="2"/>
        <v/>
      </c>
      <c r="I52" s="17" t="str">
        <f t="shared" ca="1" si="3"/>
        <v/>
      </c>
      <c r="J52" s="10"/>
      <c r="K52" s="11"/>
    </row>
    <row r="53" spans="1:11" x14ac:dyDescent="0.3">
      <c r="A53" s="11"/>
      <c r="B53" s="11"/>
      <c r="C53" s="11"/>
      <c r="D53" s="10"/>
      <c r="E53" s="10"/>
      <c r="F53" s="12"/>
      <c r="G53" s="20"/>
      <c r="H53" s="13" t="str">
        <f t="shared" si="2"/>
        <v/>
      </c>
      <c r="I53" s="17" t="str">
        <f t="shared" ca="1" si="3"/>
        <v/>
      </c>
      <c r="J53" s="10"/>
      <c r="K53" s="11"/>
    </row>
    <row r="54" spans="1:11" x14ac:dyDescent="0.3">
      <c r="A54" s="11"/>
      <c r="B54" s="11"/>
      <c r="C54" s="11"/>
      <c r="D54" s="10"/>
      <c r="E54" s="10"/>
      <c r="F54" s="12"/>
      <c r="G54" s="20"/>
      <c r="H54" s="13" t="str">
        <f t="shared" si="2"/>
        <v/>
      </c>
      <c r="I54" s="17" t="str">
        <f t="shared" ca="1" si="3"/>
        <v/>
      </c>
      <c r="J54" s="10"/>
      <c r="K54" s="11"/>
    </row>
    <row r="55" spans="1:11" x14ac:dyDescent="0.3">
      <c r="A55" s="11"/>
      <c r="B55" s="11"/>
      <c r="C55" s="11"/>
      <c r="D55" s="10"/>
      <c r="E55" s="10"/>
      <c r="F55" s="12"/>
      <c r="G55" s="20"/>
      <c r="H55" s="13" t="str">
        <f t="shared" si="2"/>
        <v/>
      </c>
      <c r="I55" s="17" t="str">
        <f t="shared" ca="1" si="3"/>
        <v/>
      </c>
      <c r="J55" s="10"/>
      <c r="K55" s="11"/>
    </row>
    <row r="56" spans="1:11" x14ac:dyDescent="0.3">
      <c r="A56" s="11"/>
      <c r="B56" s="11"/>
      <c r="C56" s="11"/>
      <c r="D56" s="10"/>
      <c r="E56" s="10"/>
      <c r="F56" s="12"/>
      <c r="G56" s="20"/>
      <c r="H56" s="13" t="str">
        <f t="shared" si="2"/>
        <v/>
      </c>
      <c r="I56" s="17" t="str">
        <f t="shared" ca="1" si="3"/>
        <v/>
      </c>
      <c r="J56" s="10"/>
      <c r="K56" s="11"/>
    </row>
    <row r="57" spans="1:11" x14ac:dyDescent="0.3">
      <c r="A57" s="11"/>
      <c r="B57" s="11"/>
      <c r="C57" s="11"/>
      <c r="D57" s="10"/>
      <c r="E57" s="10"/>
      <c r="F57" s="12"/>
      <c r="G57" s="20"/>
      <c r="H57" s="13" t="str">
        <f t="shared" si="2"/>
        <v/>
      </c>
      <c r="I57" s="17" t="str">
        <f t="shared" ca="1" si="3"/>
        <v/>
      </c>
      <c r="J57" s="10"/>
      <c r="K57" s="11"/>
    </row>
    <row r="58" spans="1:11" x14ac:dyDescent="0.3">
      <c r="A58" s="11"/>
      <c r="B58" s="11"/>
      <c r="C58" s="11"/>
      <c r="D58" s="10"/>
      <c r="E58" s="10"/>
      <c r="F58" s="12"/>
      <c r="G58" s="20"/>
      <c r="H58" s="13" t="str">
        <f t="shared" si="2"/>
        <v/>
      </c>
      <c r="I58" s="17" t="str">
        <f t="shared" ca="1" si="3"/>
        <v/>
      </c>
      <c r="J58" s="10"/>
      <c r="K58" s="11"/>
    </row>
    <row r="59" spans="1:11" x14ac:dyDescent="0.3">
      <c r="A59" s="11"/>
      <c r="B59" s="11"/>
      <c r="C59" s="11"/>
      <c r="D59" s="10"/>
      <c r="E59" s="10"/>
      <c r="F59" s="12"/>
      <c r="G59" s="20"/>
      <c r="H59" s="13" t="str">
        <f t="shared" si="2"/>
        <v/>
      </c>
      <c r="I59" s="17" t="str">
        <f t="shared" ca="1" si="3"/>
        <v/>
      </c>
      <c r="J59" s="10"/>
      <c r="K59" s="11"/>
    </row>
    <row r="60" spans="1:11" x14ac:dyDescent="0.3">
      <c r="A60" s="11"/>
      <c r="B60" s="11"/>
      <c r="C60" s="11"/>
      <c r="D60" s="10"/>
      <c r="E60" s="10"/>
      <c r="F60" s="12"/>
      <c r="G60" s="20"/>
      <c r="H60" s="13" t="str">
        <f t="shared" si="2"/>
        <v/>
      </c>
      <c r="I60" s="17" t="str">
        <f t="shared" ca="1" si="3"/>
        <v/>
      </c>
      <c r="J60" s="10"/>
      <c r="K60" s="11"/>
    </row>
    <row r="61" spans="1:11" x14ac:dyDescent="0.3">
      <c r="A61" s="11"/>
      <c r="B61" s="11"/>
      <c r="C61" s="11"/>
      <c r="D61" s="10"/>
      <c r="E61" s="10"/>
      <c r="F61" s="12"/>
      <c r="G61" s="20"/>
      <c r="H61" s="13" t="str">
        <f t="shared" si="2"/>
        <v/>
      </c>
      <c r="I61" s="17" t="str">
        <f t="shared" ca="1" si="3"/>
        <v/>
      </c>
      <c r="J61" s="10"/>
      <c r="K61" s="11"/>
    </row>
    <row r="62" spans="1:11" x14ac:dyDescent="0.3">
      <c r="A62" s="11"/>
      <c r="B62" s="11"/>
      <c r="C62" s="11"/>
      <c r="D62" s="10"/>
      <c r="E62" s="10"/>
      <c r="F62" s="12"/>
      <c r="G62" s="20"/>
      <c r="H62" s="13" t="str">
        <f t="shared" si="2"/>
        <v/>
      </c>
      <c r="I62" s="17" t="str">
        <f t="shared" ca="1" si="3"/>
        <v/>
      </c>
      <c r="J62" s="10"/>
      <c r="K62" s="11"/>
    </row>
    <row r="63" spans="1:11" x14ac:dyDescent="0.3">
      <c r="A63" s="11"/>
      <c r="B63" s="11"/>
      <c r="C63" s="11"/>
      <c r="D63" s="10"/>
      <c r="E63" s="10"/>
      <c r="F63" s="12"/>
      <c r="G63" s="20"/>
      <c r="H63" s="13" t="str">
        <f t="shared" si="2"/>
        <v/>
      </c>
      <c r="I63" s="17" t="str">
        <f t="shared" ca="1" si="3"/>
        <v/>
      </c>
      <c r="J63" s="10"/>
      <c r="K63" s="11"/>
    </row>
    <row r="64" spans="1:11" x14ac:dyDescent="0.3">
      <c r="A64" s="11"/>
      <c r="B64" s="11"/>
      <c r="C64" s="11"/>
      <c r="D64" s="10"/>
      <c r="E64" s="10"/>
      <c r="F64" s="12"/>
      <c r="G64" s="20"/>
      <c r="H64" s="13" t="str">
        <f t="shared" si="2"/>
        <v/>
      </c>
      <c r="I64" s="17" t="str">
        <f t="shared" ca="1" si="3"/>
        <v/>
      </c>
      <c r="J64" s="10"/>
      <c r="K64" s="11"/>
    </row>
    <row r="65" spans="1:11" x14ac:dyDescent="0.3">
      <c r="A65" s="11"/>
      <c r="B65" s="11"/>
      <c r="C65" s="11"/>
      <c r="D65" s="10"/>
      <c r="E65" s="10"/>
      <c r="F65" s="12"/>
      <c r="G65" s="20"/>
      <c r="H65" s="13" t="str">
        <f t="shared" si="2"/>
        <v/>
      </c>
      <c r="I65" s="17" t="str">
        <f t="shared" ca="1" si="3"/>
        <v/>
      </c>
      <c r="J65" s="10"/>
      <c r="K65" s="11"/>
    </row>
    <row r="66" spans="1:11" x14ac:dyDescent="0.3">
      <c r="A66" s="11"/>
      <c r="B66" s="11"/>
      <c r="C66" s="11"/>
      <c r="D66" s="10"/>
      <c r="E66" s="10"/>
      <c r="F66" s="12"/>
      <c r="G66" s="20"/>
      <c r="H66" s="13" t="str">
        <f t="shared" si="2"/>
        <v/>
      </c>
      <c r="I66" s="17" t="str">
        <f t="shared" ca="1" si="3"/>
        <v/>
      </c>
      <c r="J66" s="10"/>
      <c r="K66" s="11"/>
    </row>
    <row r="67" spans="1:11" x14ac:dyDescent="0.3">
      <c r="A67" s="11"/>
      <c r="B67" s="11"/>
      <c r="C67" s="11"/>
      <c r="D67" s="10"/>
      <c r="E67" s="10"/>
      <c r="F67" s="12"/>
      <c r="G67" s="20"/>
      <c r="H67" s="13" t="str">
        <f t="shared" si="2"/>
        <v/>
      </c>
      <c r="I67" s="17" t="str">
        <f t="shared" ca="1" si="3"/>
        <v/>
      </c>
      <c r="J67" s="10"/>
      <c r="K67" s="11"/>
    </row>
    <row r="68" spans="1:11" x14ac:dyDescent="0.3">
      <c r="A68" s="11"/>
      <c r="B68" s="11"/>
      <c r="C68" s="11"/>
      <c r="D68" s="10"/>
      <c r="E68" s="10"/>
      <c r="F68" s="12"/>
      <c r="G68" s="20"/>
      <c r="H68" s="13" t="str">
        <f t="shared" ref="H68:H99" si="4">IF(F68="","",F68*(1-G68))</f>
        <v/>
      </c>
      <c r="I68" s="17" t="str">
        <f t="shared" ref="I68:I99" ca="1" si="5">IF(E68="","",IF(J68&lt;&gt;"","Recebido",IF(E68&lt;TODAY(),"Atrasado","Em Aberto")))</f>
        <v/>
      </c>
      <c r="J68" s="10"/>
      <c r="K68" s="11"/>
    </row>
    <row r="69" spans="1:11" x14ac:dyDescent="0.3">
      <c r="A69" s="11"/>
      <c r="B69" s="11"/>
      <c r="C69" s="11"/>
      <c r="D69" s="10"/>
      <c r="E69" s="10"/>
      <c r="F69" s="12"/>
      <c r="G69" s="20"/>
      <c r="H69" s="13" t="str">
        <f t="shared" si="4"/>
        <v/>
      </c>
      <c r="I69" s="17" t="str">
        <f t="shared" ca="1" si="5"/>
        <v/>
      </c>
      <c r="J69" s="10"/>
      <c r="K69" s="11"/>
    </row>
    <row r="70" spans="1:11" x14ac:dyDescent="0.3">
      <c r="A70" s="11"/>
      <c r="B70" s="11"/>
      <c r="C70" s="11"/>
      <c r="D70" s="10"/>
      <c r="E70" s="10"/>
      <c r="F70" s="12"/>
      <c r="G70" s="20"/>
      <c r="H70" s="13" t="str">
        <f t="shared" si="4"/>
        <v/>
      </c>
      <c r="I70" s="17" t="str">
        <f t="shared" ca="1" si="5"/>
        <v/>
      </c>
      <c r="J70" s="10"/>
      <c r="K70" s="11"/>
    </row>
    <row r="71" spans="1:11" x14ac:dyDescent="0.3">
      <c r="A71" s="11"/>
      <c r="B71" s="11"/>
      <c r="C71" s="11"/>
      <c r="D71" s="10"/>
      <c r="E71" s="10"/>
      <c r="F71" s="12"/>
      <c r="G71" s="20"/>
      <c r="H71" s="13" t="str">
        <f t="shared" si="4"/>
        <v/>
      </c>
      <c r="I71" s="17" t="str">
        <f t="shared" ca="1" si="5"/>
        <v/>
      </c>
      <c r="J71" s="10"/>
      <c r="K71" s="11"/>
    </row>
    <row r="72" spans="1:11" x14ac:dyDescent="0.3">
      <c r="A72" s="11"/>
      <c r="B72" s="11"/>
      <c r="C72" s="11"/>
      <c r="D72" s="10"/>
      <c r="E72" s="10"/>
      <c r="F72" s="12"/>
      <c r="G72" s="20"/>
      <c r="H72" s="13" t="str">
        <f t="shared" si="4"/>
        <v/>
      </c>
      <c r="I72" s="17" t="str">
        <f t="shared" ca="1" si="5"/>
        <v/>
      </c>
      <c r="J72" s="10"/>
      <c r="K72" s="11"/>
    </row>
    <row r="73" spans="1:11" x14ac:dyDescent="0.3">
      <c r="A73" s="11"/>
      <c r="B73" s="11"/>
      <c r="C73" s="11"/>
      <c r="D73" s="10"/>
      <c r="E73" s="10"/>
      <c r="F73" s="12"/>
      <c r="G73" s="20"/>
      <c r="H73" s="13" t="str">
        <f t="shared" si="4"/>
        <v/>
      </c>
      <c r="I73" s="17" t="str">
        <f t="shared" ca="1" si="5"/>
        <v/>
      </c>
      <c r="J73" s="10"/>
      <c r="K73" s="11"/>
    </row>
    <row r="74" spans="1:11" x14ac:dyDescent="0.3">
      <c r="A74" s="11"/>
      <c r="B74" s="11"/>
      <c r="C74" s="11"/>
      <c r="D74" s="10"/>
      <c r="E74" s="10"/>
      <c r="F74" s="12"/>
      <c r="G74" s="20"/>
      <c r="H74" s="13" t="str">
        <f t="shared" si="4"/>
        <v/>
      </c>
      <c r="I74" s="17" t="str">
        <f t="shared" ca="1" si="5"/>
        <v/>
      </c>
      <c r="J74" s="10"/>
      <c r="K74" s="11"/>
    </row>
    <row r="75" spans="1:11" x14ac:dyDescent="0.3">
      <c r="A75" s="11"/>
      <c r="B75" s="11"/>
      <c r="C75" s="11"/>
      <c r="D75" s="10"/>
      <c r="E75" s="10"/>
      <c r="F75" s="12"/>
      <c r="G75" s="20"/>
      <c r="H75" s="13" t="str">
        <f t="shared" si="4"/>
        <v/>
      </c>
      <c r="I75" s="17" t="str">
        <f t="shared" ca="1" si="5"/>
        <v/>
      </c>
      <c r="J75" s="10"/>
      <c r="K75" s="11"/>
    </row>
    <row r="76" spans="1:11" x14ac:dyDescent="0.3">
      <c r="A76" s="11"/>
      <c r="B76" s="11"/>
      <c r="C76" s="11"/>
      <c r="D76" s="10"/>
      <c r="E76" s="10"/>
      <c r="F76" s="12"/>
      <c r="G76" s="20"/>
      <c r="H76" s="13" t="str">
        <f t="shared" si="4"/>
        <v/>
      </c>
      <c r="I76" s="17" t="str">
        <f t="shared" ca="1" si="5"/>
        <v/>
      </c>
      <c r="J76" s="10"/>
      <c r="K76" s="11"/>
    </row>
    <row r="77" spans="1:11" x14ac:dyDescent="0.3">
      <c r="A77" s="11"/>
      <c r="B77" s="11"/>
      <c r="C77" s="11"/>
      <c r="D77" s="10"/>
      <c r="E77" s="10"/>
      <c r="F77" s="12"/>
      <c r="G77" s="20"/>
      <c r="H77" s="13" t="str">
        <f t="shared" si="4"/>
        <v/>
      </c>
      <c r="I77" s="17" t="str">
        <f t="shared" ca="1" si="5"/>
        <v/>
      </c>
      <c r="J77" s="10"/>
      <c r="K77" s="11"/>
    </row>
    <row r="78" spans="1:11" x14ac:dyDescent="0.3">
      <c r="A78" s="11"/>
      <c r="B78" s="11"/>
      <c r="C78" s="11"/>
      <c r="D78" s="10"/>
      <c r="E78" s="10"/>
      <c r="F78" s="12"/>
      <c r="G78" s="20"/>
      <c r="H78" s="13" t="str">
        <f t="shared" si="4"/>
        <v/>
      </c>
      <c r="I78" s="17" t="str">
        <f t="shared" ca="1" si="5"/>
        <v/>
      </c>
      <c r="J78" s="10"/>
      <c r="K78" s="11"/>
    </row>
    <row r="79" spans="1:11" x14ac:dyDescent="0.3">
      <c r="A79" s="11"/>
      <c r="B79" s="11"/>
      <c r="C79" s="11"/>
      <c r="D79" s="10"/>
      <c r="E79" s="10"/>
      <c r="F79" s="12"/>
      <c r="G79" s="20"/>
      <c r="H79" s="13" t="str">
        <f t="shared" si="4"/>
        <v/>
      </c>
      <c r="I79" s="17" t="str">
        <f t="shared" ca="1" si="5"/>
        <v/>
      </c>
      <c r="J79" s="10"/>
      <c r="K79" s="11"/>
    </row>
    <row r="80" spans="1:11" x14ac:dyDescent="0.3">
      <c r="A80" s="11"/>
      <c r="B80" s="11"/>
      <c r="C80" s="11"/>
      <c r="D80" s="10"/>
      <c r="E80" s="10"/>
      <c r="F80" s="12"/>
      <c r="G80" s="20"/>
      <c r="H80" s="13" t="str">
        <f t="shared" si="4"/>
        <v/>
      </c>
      <c r="I80" s="17" t="str">
        <f t="shared" ca="1" si="5"/>
        <v/>
      </c>
      <c r="J80" s="10"/>
      <c r="K80" s="11"/>
    </row>
    <row r="81" spans="1:11" x14ac:dyDescent="0.3">
      <c r="A81" s="11"/>
      <c r="B81" s="11"/>
      <c r="C81" s="11"/>
      <c r="D81" s="10"/>
      <c r="E81" s="10"/>
      <c r="F81" s="12"/>
      <c r="G81" s="20"/>
      <c r="H81" s="13" t="str">
        <f t="shared" si="4"/>
        <v/>
      </c>
      <c r="I81" s="17" t="str">
        <f t="shared" ca="1" si="5"/>
        <v/>
      </c>
      <c r="J81" s="10"/>
      <c r="K81" s="11"/>
    </row>
    <row r="82" spans="1:11" x14ac:dyDescent="0.3">
      <c r="A82" s="11"/>
      <c r="B82" s="11"/>
      <c r="C82" s="11"/>
      <c r="D82" s="10"/>
      <c r="E82" s="10"/>
      <c r="F82" s="12"/>
      <c r="G82" s="20"/>
      <c r="H82" s="13" t="str">
        <f t="shared" si="4"/>
        <v/>
      </c>
      <c r="I82" s="17" t="str">
        <f t="shared" ca="1" si="5"/>
        <v/>
      </c>
      <c r="J82" s="10"/>
      <c r="K82" s="11"/>
    </row>
    <row r="83" spans="1:11" x14ac:dyDescent="0.3">
      <c r="A83" s="11"/>
      <c r="B83" s="11"/>
      <c r="C83" s="11"/>
      <c r="D83" s="10"/>
      <c r="E83" s="10"/>
      <c r="F83" s="12"/>
      <c r="G83" s="20"/>
      <c r="H83" s="13" t="str">
        <f t="shared" si="4"/>
        <v/>
      </c>
      <c r="I83" s="17" t="str">
        <f t="shared" ca="1" si="5"/>
        <v/>
      </c>
      <c r="J83" s="10"/>
      <c r="K83" s="11"/>
    </row>
    <row r="85" spans="1:11" x14ac:dyDescent="0.3">
      <c r="A85" s="6" t="s">
        <v>48</v>
      </c>
      <c r="H85" s="18">
        <f ca="1">SUMIFS(H4:H83,I4:I83,"Em Aberto")</f>
        <v>1455.1499999999999</v>
      </c>
    </row>
    <row r="86" spans="1:11" x14ac:dyDescent="0.3">
      <c r="A86" s="6" t="s">
        <v>49</v>
      </c>
      <c r="H86" s="19">
        <f ca="1">SUMIFS(H4:H83,I4:I83,"Atrasado")</f>
        <v>0</v>
      </c>
    </row>
    <row r="87" spans="1:11" x14ac:dyDescent="0.3">
      <c r="A87" s="6" t="s">
        <v>65</v>
      </c>
      <c r="H87" s="18">
        <f ca="1">SUMIFS(H4:H83,I4:I83,"Recebido")</f>
        <v>0</v>
      </c>
    </row>
  </sheetData>
  <mergeCells count="1">
    <mergeCell ref="A1:K1"/>
  </mergeCells>
  <conditionalFormatting sqref="I4:I83">
    <cfRule type="cellIs" dxfId="3" priority="1" operator="equal">
      <formula>"Atrasado"</formula>
    </cfRule>
  </conditionalFormatting>
  <conditionalFormatting sqref="A4:K83">
    <cfRule type="expression" dxfId="2" priority="2">
      <formula>$I4="Atrasado"</formula>
    </cfRule>
  </conditionalFormatting>
  <dataValidations count="1">
    <dataValidation type="list" allowBlank="1" sqref="C4:C83">
      <formula1>"Cartao de Credito,Cartao de Debito,Convenio/Fiado,Cheque Pre-datado,Boleto,Outros"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36" customWidth="1"/>
    <col min="2" max="13" width="12" customWidth="1"/>
    <col min="14" max="14" width="15" customWidth="1"/>
  </cols>
  <sheetData>
    <row r="1" spans="1:14" ht="25.95" customHeight="1" x14ac:dyDescent="0.3">
      <c r="A1" s="33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4" x14ac:dyDescent="0.3">
      <c r="A3" s="6" t="s">
        <v>67</v>
      </c>
      <c r="B3" s="21">
        <v>2026</v>
      </c>
    </row>
    <row r="4" spans="1:14" ht="10.050000000000001" customHeight="1" x14ac:dyDescent="0.3">
      <c r="A4" s="22" t="s">
        <v>68</v>
      </c>
      <c r="B4" s="23">
        <f>DATE($B$3,1,1)</f>
        <v>46023</v>
      </c>
      <c r="C4" s="23">
        <f>DATE($B$3,2,1)</f>
        <v>46054</v>
      </c>
      <c r="D4" s="23">
        <f>DATE($B$3,3,1)</f>
        <v>46082</v>
      </c>
      <c r="E4" s="23">
        <f>DATE($B$3,4,1)</f>
        <v>46113</v>
      </c>
      <c r="F4" s="23">
        <f>DATE($B$3,5,1)</f>
        <v>46143</v>
      </c>
      <c r="G4" s="23">
        <f>DATE($B$3,6,1)</f>
        <v>46174</v>
      </c>
      <c r="H4" s="23">
        <f>DATE($B$3,7,1)</f>
        <v>46204</v>
      </c>
      <c r="I4" s="23">
        <f>DATE($B$3,8,1)</f>
        <v>46235</v>
      </c>
      <c r="J4" s="23">
        <f>DATE($B$3,9,1)</f>
        <v>46266</v>
      </c>
      <c r="K4" s="23">
        <f>DATE($B$3,10,1)</f>
        <v>46296</v>
      </c>
      <c r="L4" s="23">
        <f>DATE($B$3,11,1)</f>
        <v>46327</v>
      </c>
      <c r="M4" s="23">
        <f>DATE($B$3,12,1)</f>
        <v>46357</v>
      </c>
    </row>
    <row r="5" spans="1:14" ht="15.6" x14ac:dyDescent="0.3">
      <c r="A5" s="9"/>
      <c r="B5" s="24" t="str">
        <f t="shared" ref="B5:M5" si="0">TEXT(B4,"mmm/aa")</f>
        <v>jan/26</v>
      </c>
      <c r="C5" s="24" t="str">
        <f t="shared" si="0"/>
        <v>fev/26</v>
      </c>
      <c r="D5" s="24" t="str">
        <f t="shared" si="0"/>
        <v>mar/26</v>
      </c>
      <c r="E5" s="24" t="str">
        <f t="shared" si="0"/>
        <v>abr/26</v>
      </c>
      <c r="F5" s="24" t="str">
        <f t="shared" si="0"/>
        <v>mai/26</v>
      </c>
      <c r="G5" s="24" t="str">
        <f t="shared" si="0"/>
        <v>jun/26</v>
      </c>
      <c r="H5" s="24" t="str">
        <f t="shared" si="0"/>
        <v>jul/26</v>
      </c>
      <c r="I5" s="24" t="str">
        <f t="shared" si="0"/>
        <v>ago/26</v>
      </c>
      <c r="J5" s="24" t="str">
        <f t="shared" si="0"/>
        <v>set/26</v>
      </c>
      <c r="K5" s="24" t="str">
        <f t="shared" si="0"/>
        <v>out/26</v>
      </c>
      <c r="L5" s="24" t="str">
        <f t="shared" si="0"/>
        <v>nov/26</v>
      </c>
      <c r="M5" s="24" t="str">
        <f t="shared" si="0"/>
        <v>dez/26</v>
      </c>
      <c r="N5" s="9" t="s">
        <v>69</v>
      </c>
    </row>
    <row r="6" spans="1:14" x14ac:dyDescent="0.3">
      <c r="A6" s="6" t="s">
        <v>70</v>
      </c>
      <c r="B6" s="7">
        <v>0</v>
      </c>
      <c r="C6" s="13">
        <f t="shared" ref="C6:M6" si="1">B16</f>
        <v>0</v>
      </c>
      <c r="D6" s="13">
        <f t="shared" si="1"/>
        <v>0</v>
      </c>
      <c r="E6" s="13">
        <f t="shared" si="1"/>
        <v>0</v>
      </c>
      <c r="F6" s="13">
        <f t="shared" si="1"/>
        <v>0</v>
      </c>
      <c r="G6" s="13">
        <f t="shared" si="1"/>
        <v>0</v>
      </c>
      <c r="H6" s="13">
        <f t="shared" si="1"/>
        <v>0</v>
      </c>
      <c r="I6" s="13">
        <f t="shared" si="1"/>
        <v>0</v>
      </c>
      <c r="J6" s="13">
        <f t="shared" si="1"/>
        <v>0</v>
      </c>
      <c r="K6" s="13">
        <f t="shared" si="1"/>
        <v>0</v>
      </c>
      <c r="L6" s="13">
        <f t="shared" si="1"/>
        <v>0</v>
      </c>
      <c r="M6" s="13">
        <f t="shared" si="1"/>
        <v>0</v>
      </c>
      <c r="N6" s="13">
        <f>B6</f>
        <v>0</v>
      </c>
    </row>
    <row r="7" spans="1:14" x14ac:dyDescent="0.3">
      <c r="A7" s="25" t="s">
        <v>71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x14ac:dyDescent="0.3">
      <c r="A8" s="27" t="s">
        <v>72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3">
        <f>SUM(B8:M8)</f>
        <v>0</v>
      </c>
    </row>
    <row r="9" spans="1:14" x14ac:dyDescent="0.3">
      <c r="A9" s="27" t="s">
        <v>73</v>
      </c>
      <c r="B9" s="28">
        <f>SUMIFS(Contas_a_Receber!$H$4:$H$83,Contas_a_Receber!$E$4:$E$83,"&gt;="&amp;B4,Contas_a_Receber!$E$4:$E$83,"&lt;"&amp;EDATE(B4,1))</f>
        <v>0</v>
      </c>
      <c r="C9" s="28">
        <f>SUMIFS(Contas_a_Receber!$H$4:$H$83,Contas_a_Receber!$E$4:$E$83,"&gt;="&amp;C4,Contas_a_Receber!$E$4:$E$83,"&lt;"&amp;EDATE(C4,1))</f>
        <v>0</v>
      </c>
      <c r="D9" s="28">
        <f>SUMIFS(Contas_a_Receber!$H$4:$H$83,Contas_a_Receber!$E$4:$E$83,"&gt;="&amp;D4,Contas_a_Receber!$E$4:$E$83,"&lt;"&amp;EDATE(D4,1))</f>
        <v>0</v>
      </c>
      <c r="E9" s="28">
        <f>SUMIFS(Contas_a_Receber!$H$4:$H$83,Contas_a_Receber!$E$4:$E$83,"&gt;="&amp;E4,Contas_a_Receber!$E$4:$E$83,"&lt;"&amp;EDATE(E4,1))</f>
        <v>0</v>
      </c>
      <c r="F9" s="28">
        <f>SUMIFS(Contas_a_Receber!$H$4:$H$83,Contas_a_Receber!$E$4:$E$83,"&gt;="&amp;F4,Contas_a_Receber!$E$4:$E$83,"&lt;"&amp;EDATE(F4,1))</f>
        <v>0</v>
      </c>
      <c r="G9" s="28">
        <f>SUMIFS(Contas_a_Receber!$H$4:$H$83,Contas_a_Receber!$E$4:$E$83,"&gt;="&amp;G4,Contas_a_Receber!$E$4:$E$83,"&lt;"&amp;EDATE(G4,1))</f>
        <v>0</v>
      </c>
      <c r="H9" s="28">
        <f>SUMIFS(Contas_a_Receber!$H$4:$H$83,Contas_a_Receber!$E$4:$E$83,"&gt;="&amp;H4,Contas_a_Receber!$E$4:$E$83,"&lt;"&amp;EDATE(H4,1))</f>
        <v>0</v>
      </c>
      <c r="I9" s="28">
        <f>SUMIFS(Contas_a_Receber!$H$4:$H$83,Contas_a_Receber!$E$4:$E$83,"&gt;="&amp;I4,Contas_a_Receber!$E$4:$E$83,"&lt;"&amp;EDATE(I4,1))</f>
        <v>0</v>
      </c>
      <c r="J9" s="28">
        <f>SUMIFS(Contas_a_Receber!$H$4:$H$83,Contas_a_Receber!$E$4:$E$83,"&gt;="&amp;J4,Contas_a_Receber!$E$4:$E$83,"&lt;"&amp;EDATE(J4,1))</f>
        <v>0</v>
      </c>
      <c r="K9" s="28">
        <f>SUMIFS(Contas_a_Receber!$H$4:$H$83,Contas_a_Receber!$E$4:$E$83,"&gt;="&amp;K4,Contas_a_Receber!$E$4:$E$83,"&lt;"&amp;EDATE(K4,1))</f>
        <v>0</v>
      </c>
      <c r="L9" s="28">
        <f>SUMIFS(Contas_a_Receber!$H$4:$H$83,Contas_a_Receber!$E$4:$E$83,"&gt;="&amp;L4,Contas_a_Receber!$E$4:$E$83,"&lt;"&amp;EDATE(L4,1))</f>
        <v>0</v>
      </c>
      <c r="M9" s="28">
        <f>SUMIFS(Contas_a_Receber!$H$4:$H$83,Contas_a_Receber!$E$4:$E$83,"&gt;="&amp;M4,Contas_a_Receber!$E$4:$E$83,"&lt;"&amp;EDATE(M4,1))</f>
        <v>0</v>
      </c>
      <c r="N9" s="13">
        <f>SUM(B9:M9)</f>
        <v>0</v>
      </c>
    </row>
    <row r="10" spans="1:14" x14ac:dyDescent="0.3">
      <c r="A10" s="27" t="s">
        <v>74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3">
        <f>SUM(B10:M10)</f>
        <v>0</v>
      </c>
    </row>
    <row r="11" spans="1:14" x14ac:dyDescent="0.3">
      <c r="A11" s="6" t="s">
        <v>75</v>
      </c>
      <c r="B11" s="16">
        <f t="shared" ref="B11:M11" si="2">SUM(B8:B10)</f>
        <v>0</v>
      </c>
      <c r="C11" s="16">
        <f t="shared" si="2"/>
        <v>0</v>
      </c>
      <c r="D11" s="16">
        <f t="shared" si="2"/>
        <v>0</v>
      </c>
      <c r="E11" s="16">
        <f t="shared" si="2"/>
        <v>0</v>
      </c>
      <c r="F11" s="16">
        <f t="shared" si="2"/>
        <v>0</v>
      </c>
      <c r="G11" s="16">
        <f t="shared" si="2"/>
        <v>0</v>
      </c>
      <c r="H11" s="16">
        <f t="shared" si="2"/>
        <v>0</v>
      </c>
      <c r="I11" s="16">
        <f t="shared" si="2"/>
        <v>0</v>
      </c>
      <c r="J11" s="16">
        <f t="shared" si="2"/>
        <v>0</v>
      </c>
      <c r="K11" s="16">
        <f t="shared" si="2"/>
        <v>0</v>
      </c>
      <c r="L11" s="16">
        <f t="shared" si="2"/>
        <v>0</v>
      </c>
      <c r="M11" s="16">
        <f t="shared" si="2"/>
        <v>0</v>
      </c>
      <c r="N11" s="16">
        <f>SUM(B11:M11)</f>
        <v>0</v>
      </c>
    </row>
    <row r="12" spans="1:14" x14ac:dyDescent="0.3">
      <c r="A12" s="25" t="s">
        <v>76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4" x14ac:dyDescent="0.3">
      <c r="A13" s="27" t="s">
        <v>77</v>
      </c>
      <c r="B13" s="28">
        <f>SUMIFS(Contas_a_Pagar!$F$4:$F$83,Contas_a_Pagar!$E$4:$E$83,"&gt;="&amp;B4,Contas_a_Pagar!$E$4:$E$83,"&lt;"&amp;EDATE(B4,1))</f>
        <v>0</v>
      </c>
      <c r="C13" s="28">
        <f>SUMIFS(Contas_a_Pagar!$F$4:$F$83,Contas_a_Pagar!$E$4:$E$83,"&gt;="&amp;C4,Contas_a_Pagar!$E$4:$E$83,"&lt;"&amp;EDATE(C4,1))</f>
        <v>0</v>
      </c>
      <c r="D13" s="28">
        <f>SUMIFS(Contas_a_Pagar!$F$4:$F$83,Contas_a_Pagar!$E$4:$E$83,"&gt;="&amp;D4,Contas_a_Pagar!$E$4:$E$83,"&lt;"&amp;EDATE(D4,1))</f>
        <v>0</v>
      </c>
      <c r="E13" s="28">
        <f>SUMIFS(Contas_a_Pagar!$F$4:$F$83,Contas_a_Pagar!$E$4:$E$83,"&gt;="&amp;E4,Contas_a_Pagar!$E$4:$E$83,"&lt;"&amp;EDATE(E4,1))</f>
        <v>0</v>
      </c>
      <c r="F13" s="28">
        <f>SUMIFS(Contas_a_Pagar!$F$4:$F$83,Contas_a_Pagar!$E$4:$E$83,"&gt;="&amp;F4,Contas_a_Pagar!$E$4:$E$83,"&lt;"&amp;EDATE(F4,1))</f>
        <v>0</v>
      </c>
      <c r="G13" s="28">
        <f>SUMIFS(Contas_a_Pagar!$F$4:$F$83,Contas_a_Pagar!$E$4:$E$83,"&gt;="&amp;G4,Contas_a_Pagar!$E$4:$E$83,"&lt;"&amp;EDATE(G4,1))</f>
        <v>0</v>
      </c>
      <c r="H13" s="28">
        <f>SUMIFS(Contas_a_Pagar!$F$4:$F$83,Contas_a_Pagar!$E$4:$E$83,"&gt;="&amp;H4,Contas_a_Pagar!$E$4:$E$83,"&lt;"&amp;EDATE(H4,1))</f>
        <v>0</v>
      </c>
      <c r="I13" s="28">
        <f>SUMIFS(Contas_a_Pagar!$F$4:$F$83,Contas_a_Pagar!$E$4:$E$83,"&gt;="&amp;I4,Contas_a_Pagar!$E$4:$E$83,"&lt;"&amp;EDATE(I4,1))</f>
        <v>0</v>
      </c>
      <c r="J13" s="28">
        <f>SUMIFS(Contas_a_Pagar!$F$4:$F$83,Contas_a_Pagar!$E$4:$E$83,"&gt;="&amp;J4,Contas_a_Pagar!$E$4:$E$83,"&lt;"&amp;EDATE(J4,1))</f>
        <v>0</v>
      </c>
      <c r="K13" s="28">
        <f>SUMIFS(Contas_a_Pagar!$F$4:$F$83,Contas_a_Pagar!$E$4:$E$83,"&gt;="&amp;K4,Contas_a_Pagar!$E$4:$E$83,"&lt;"&amp;EDATE(K4,1))</f>
        <v>0</v>
      </c>
      <c r="L13" s="28">
        <f>SUMIFS(Contas_a_Pagar!$F$4:$F$83,Contas_a_Pagar!$E$4:$E$83,"&gt;="&amp;L4,Contas_a_Pagar!$E$4:$E$83,"&lt;"&amp;EDATE(L4,1))</f>
        <v>0</v>
      </c>
      <c r="M13" s="28">
        <f>SUMIFS(Contas_a_Pagar!$F$4:$F$83,Contas_a_Pagar!$E$4:$E$83,"&gt;="&amp;M4,Contas_a_Pagar!$E$4:$E$83,"&lt;"&amp;EDATE(M4,1))</f>
        <v>0</v>
      </c>
      <c r="N13" s="13">
        <f>SUM(B13:M13)</f>
        <v>0</v>
      </c>
    </row>
    <row r="14" spans="1:14" x14ac:dyDescent="0.3">
      <c r="A14" s="27" t="s">
        <v>78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>
        <f>SUM(B14:M14)</f>
        <v>0</v>
      </c>
    </row>
    <row r="15" spans="1:14" x14ac:dyDescent="0.3">
      <c r="A15" s="6" t="s">
        <v>79</v>
      </c>
      <c r="B15" s="16">
        <f t="shared" ref="B15:M15" si="3">SUM(B13:B14)</f>
        <v>0</v>
      </c>
      <c r="C15" s="16">
        <f t="shared" si="3"/>
        <v>0</v>
      </c>
      <c r="D15" s="16">
        <f t="shared" si="3"/>
        <v>0</v>
      </c>
      <c r="E15" s="16">
        <f t="shared" si="3"/>
        <v>0</v>
      </c>
      <c r="F15" s="16">
        <f t="shared" si="3"/>
        <v>0</v>
      </c>
      <c r="G15" s="16">
        <f t="shared" si="3"/>
        <v>0</v>
      </c>
      <c r="H15" s="16">
        <f t="shared" si="3"/>
        <v>0</v>
      </c>
      <c r="I15" s="16">
        <f t="shared" si="3"/>
        <v>0</v>
      </c>
      <c r="J15" s="16">
        <f t="shared" si="3"/>
        <v>0</v>
      </c>
      <c r="K15" s="16">
        <f t="shared" si="3"/>
        <v>0</v>
      </c>
      <c r="L15" s="16">
        <f t="shared" si="3"/>
        <v>0</v>
      </c>
      <c r="M15" s="16">
        <f t="shared" si="3"/>
        <v>0</v>
      </c>
      <c r="N15" s="16">
        <f>SUM(B15:M15)</f>
        <v>0</v>
      </c>
    </row>
    <row r="16" spans="1:14" x14ac:dyDescent="0.3">
      <c r="A16" s="6" t="s">
        <v>80</v>
      </c>
      <c r="B16" s="16">
        <f t="shared" ref="B16:M16" si="4">B6+B11-B15</f>
        <v>0</v>
      </c>
      <c r="C16" s="16">
        <f t="shared" si="4"/>
        <v>0</v>
      </c>
      <c r="D16" s="16">
        <f t="shared" si="4"/>
        <v>0</v>
      </c>
      <c r="E16" s="16">
        <f t="shared" si="4"/>
        <v>0</v>
      </c>
      <c r="F16" s="16">
        <f t="shared" si="4"/>
        <v>0</v>
      </c>
      <c r="G16" s="16">
        <f t="shared" si="4"/>
        <v>0</v>
      </c>
      <c r="H16" s="16">
        <f t="shared" si="4"/>
        <v>0</v>
      </c>
      <c r="I16" s="16">
        <f t="shared" si="4"/>
        <v>0</v>
      </c>
      <c r="J16" s="16">
        <f t="shared" si="4"/>
        <v>0</v>
      </c>
      <c r="K16" s="16">
        <f t="shared" si="4"/>
        <v>0</v>
      </c>
      <c r="L16" s="16">
        <f t="shared" si="4"/>
        <v>0</v>
      </c>
      <c r="M16" s="16">
        <f t="shared" si="4"/>
        <v>0</v>
      </c>
      <c r="N16" s="16">
        <f>M16</f>
        <v>0</v>
      </c>
    </row>
    <row r="18" spans="1:14" x14ac:dyDescent="0.3">
      <c r="A18" s="25" t="s">
        <v>81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1:14" x14ac:dyDescent="0.3">
      <c r="A19" s="6" t="s">
        <v>82</v>
      </c>
      <c r="B19" s="29">
        <v>0.1</v>
      </c>
    </row>
    <row r="20" spans="1:14" x14ac:dyDescent="0.3">
      <c r="A20" s="6" t="s">
        <v>83</v>
      </c>
      <c r="B20" s="29">
        <v>-0.1</v>
      </c>
    </row>
    <row r="21" spans="1:14" x14ac:dyDescent="0.3">
      <c r="A21" s="27" t="s">
        <v>84</v>
      </c>
      <c r="B21" s="13">
        <f t="shared" ref="B21:M21" si="5">B16+B11*$B$19</f>
        <v>0</v>
      </c>
      <c r="C21" s="13">
        <f t="shared" si="5"/>
        <v>0</v>
      </c>
      <c r="D21" s="13">
        <f t="shared" si="5"/>
        <v>0</v>
      </c>
      <c r="E21" s="13">
        <f t="shared" si="5"/>
        <v>0</v>
      </c>
      <c r="F21" s="13">
        <f t="shared" si="5"/>
        <v>0</v>
      </c>
      <c r="G21" s="13">
        <f t="shared" si="5"/>
        <v>0</v>
      </c>
      <c r="H21" s="13">
        <f t="shared" si="5"/>
        <v>0</v>
      </c>
      <c r="I21" s="13">
        <f t="shared" si="5"/>
        <v>0</v>
      </c>
      <c r="J21" s="13">
        <f t="shared" si="5"/>
        <v>0</v>
      </c>
      <c r="K21" s="13">
        <f t="shared" si="5"/>
        <v>0</v>
      </c>
      <c r="L21" s="13">
        <f t="shared" si="5"/>
        <v>0</v>
      </c>
      <c r="M21" s="13">
        <f t="shared" si="5"/>
        <v>0</v>
      </c>
      <c r="N21" s="13">
        <f>M21</f>
        <v>0</v>
      </c>
    </row>
    <row r="22" spans="1:14" x14ac:dyDescent="0.3">
      <c r="A22" s="27" t="s">
        <v>85</v>
      </c>
      <c r="B22" s="13">
        <f t="shared" ref="B22:M22" si="6">B16+B11*$B$20</f>
        <v>0</v>
      </c>
      <c r="C22" s="13">
        <f t="shared" si="6"/>
        <v>0</v>
      </c>
      <c r="D22" s="13">
        <f t="shared" si="6"/>
        <v>0</v>
      </c>
      <c r="E22" s="13">
        <f t="shared" si="6"/>
        <v>0</v>
      </c>
      <c r="F22" s="13">
        <f t="shared" si="6"/>
        <v>0</v>
      </c>
      <c r="G22" s="13">
        <f t="shared" si="6"/>
        <v>0</v>
      </c>
      <c r="H22" s="13">
        <f t="shared" si="6"/>
        <v>0</v>
      </c>
      <c r="I22" s="13">
        <f t="shared" si="6"/>
        <v>0</v>
      </c>
      <c r="J22" s="13">
        <f t="shared" si="6"/>
        <v>0</v>
      </c>
      <c r="K22" s="13">
        <f t="shared" si="6"/>
        <v>0</v>
      </c>
      <c r="L22" s="13">
        <f t="shared" si="6"/>
        <v>0</v>
      </c>
      <c r="M22" s="13">
        <f t="shared" si="6"/>
        <v>0</v>
      </c>
      <c r="N22" s="13">
        <f>M22</f>
        <v>0</v>
      </c>
    </row>
  </sheetData>
  <mergeCells count="1">
    <mergeCell ref="A1:N1"/>
  </mergeCells>
  <conditionalFormatting sqref="B16:M16">
    <cfRule type="cellIs" dxfId="1" priority="1" operator="lessThan">
      <formula>0</formula>
    </cfRule>
  </conditionalFormatting>
  <conditionalFormatting sqref="B22:M22">
    <cfRule type="cellIs" dxfId="0" priority="2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40" customWidth="1"/>
    <col min="2" max="13" width="12" customWidth="1"/>
    <col min="14" max="14" width="15" customWidth="1"/>
  </cols>
  <sheetData>
    <row r="1" spans="1:14" ht="25.95" customHeight="1" x14ac:dyDescent="0.3">
      <c r="A1" s="33" t="s">
        <v>86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4" x14ac:dyDescent="0.3">
      <c r="A3" s="6" t="s">
        <v>67</v>
      </c>
      <c r="B3" s="21">
        <v>2026</v>
      </c>
    </row>
    <row r="4" spans="1:14" x14ac:dyDescent="0.3">
      <c r="A4" s="6" t="s">
        <v>87</v>
      </c>
      <c r="B4" s="29">
        <v>0.04</v>
      </c>
    </row>
    <row r="6" spans="1:14" ht="10.050000000000001" customHeight="1" x14ac:dyDescent="0.3">
      <c r="A6" s="22" t="s">
        <v>68</v>
      </c>
      <c r="B6" s="23">
        <f>DATE($B$3,1,1)</f>
        <v>46023</v>
      </c>
      <c r="C6" s="23">
        <f>DATE($B$3,2,1)</f>
        <v>46054</v>
      </c>
      <c r="D6" s="23">
        <f>DATE($B$3,3,1)</f>
        <v>46082</v>
      </c>
      <c r="E6" s="23">
        <f>DATE($B$3,4,1)</f>
        <v>46113</v>
      </c>
      <c r="F6" s="23">
        <f>DATE($B$3,5,1)</f>
        <v>46143</v>
      </c>
      <c r="G6" s="23">
        <f>DATE($B$3,6,1)</f>
        <v>46174</v>
      </c>
      <c r="H6" s="23">
        <f>DATE($B$3,7,1)</f>
        <v>46204</v>
      </c>
      <c r="I6" s="23">
        <f>DATE($B$3,8,1)</f>
        <v>46235</v>
      </c>
      <c r="J6" s="23">
        <f>DATE($B$3,9,1)</f>
        <v>46266</v>
      </c>
      <c r="K6" s="23">
        <f>DATE($B$3,10,1)</f>
        <v>46296</v>
      </c>
      <c r="L6" s="23">
        <f>DATE($B$3,11,1)</f>
        <v>46327</v>
      </c>
      <c r="M6" s="23">
        <f>DATE($B$3,12,1)</f>
        <v>46357</v>
      </c>
    </row>
    <row r="7" spans="1:14" ht="15.6" x14ac:dyDescent="0.3">
      <c r="A7" s="9"/>
      <c r="B7" s="24" t="str">
        <f t="shared" ref="B7:M7" si="0">TEXT(B6,"mmm/aa")</f>
        <v>jan/26</v>
      </c>
      <c r="C7" s="24" t="str">
        <f t="shared" si="0"/>
        <v>fev/26</v>
      </c>
      <c r="D7" s="24" t="str">
        <f t="shared" si="0"/>
        <v>mar/26</v>
      </c>
      <c r="E7" s="24" t="str">
        <f t="shared" si="0"/>
        <v>abr/26</v>
      </c>
      <c r="F7" s="24" t="str">
        <f t="shared" si="0"/>
        <v>mai/26</v>
      </c>
      <c r="G7" s="24" t="str">
        <f t="shared" si="0"/>
        <v>jun/26</v>
      </c>
      <c r="H7" s="24" t="str">
        <f t="shared" si="0"/>
        <v>jul/26</v>
      </c>
      <c r="I7" s="24" t="str">
        <f t="shared" si="0"/>
        <v>ago/26</v>
      </c>
      <c r="J7" s="24" t="str">
        <f t="shared" si="0"/>
        <v>set/26</v>
      </c>
      <c r="K7" s="24" t="str">
        <f t="shared" si="0"/>
        <v>out/26</v>
      </c>
      <c r="L7" s="24" t="str">
        <f t="shared" si="0"/>
        <v>nov/26</v>
      </c>
      <c r="M7" s="24" t="str">
        <f t="shared" si="0"/>
        <v>dez/26</v>
      </c>
      <c r="N7" s="9" t="s">
        <v>69</v>
      </c>
    </row>
    <row r="8" spans="1:14" x14ac:dyDescent="0.3">
      <c r="A8" s="6" t="s">
        <v>88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8">
        <f t="shared" ref="N8:N13" si="1">SUM(B8:M8)</f>
        <v>0</v>
      </c>
    </row>
    <row r="9" spans="1:14" x14ac:dyDescent="0.3">
      <c r="A9" s="27" t="s">
        <v>89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3">
        <f t="shared" si="1"/>
        <v>0</v>
      </c>
    </row>
    <row r="10" spans="1:14" x14ac:dyDescent="0.3">
      <c r="A10" s="27" t="s">
        <v>90</v>
      </c>
      <c r="B10" s="13">
        <f t="shared" ref="B10:M10" si="2">B8*$B$4</f>
        <v>0</v>
      </c>
      <c r="C10" s="13">
        <f t="shared" si="2"/>
        <v>0</v>
      </c>
      <c r="D10" s="13">
        <f t="shared" si="2"/>
        <v>0</v>
      </c>
      <c r="E10" s="13">
        <f t="shared" si="2"/>
        <v>0</v>
      </c>
      <c r="F10" s="13">
        <f t="shared" si="2"/>
        <v>0</v>
      </c>
      <c r="G10" s="13">
        <f t="shared" si="2"/>
        <v>0</v>
      </c>
      <c r="H10" s="13">
        <f t="shared" si="2"/>
        <v>0</v>
      </c>
      <c r="I10" s="13">
        <f t="shared" si="2"/>
        <v>0</v>
      </c>
      <c r="J10" s="13">
        <f t="shared" si="2"/>
        <v>0</v>
      </c>
      <c r="K10" s="13">
        <f t="shared" si="2"/>
        <v>0</v>
      </c>
      <c r="L10" s="13">
        <f t="shared" si="2"/>
        <v>0</v>
      </c>
      <c r="M10" s="13">
        <f t="shared" si="2"/>
        <v>0</v>
      </c>
      <c r="N10" s="13">
        <f t="shared" si="1"/>
        <v>0</v>
      </c>
    </row>
    <row r="11" spans="1:14" x14ac:dyDescent="0.3">
      <c r="A11" s="6" t="e">
        <f>Receita Líquida</f>
        <v>#NAME?</v>
      </c>
      <c r="B11" s="16">
        <f t="shared" ref="B11:M11" si="3">B8-B9-B10</f>
        <v>0</v>
      </c>
      <c r="C11" s="16">
        <f t="shared" si="3"/>
        <v>0</v>
      </c>
      <c r="D11" s="16">
        <f t="shared" si="3"/>
        <v>0</v>
      </c>
      <c r="E11" s="16">
        <f t="shared" si="3"/>
        <v>0</v>
      </c>
      <c r="F11" s="16">
        <f t="shared" si="3"/>
        <v>0</v>
      </c>
      <c r="G11" s="16">
        <f t="shared" si="3"/>
        <v>0</v>
      </c>
      <c r="H11" s="16">
        <f t="shared" si="3"/>
        <v>0</v>
      </c>
      <c r="I11" s="16">
        <f t="shared" si="3"/>
        <v>0</v>
      </c>
      <c r="J11" s="16">
        <f t="shared" si="3"/>
        <v>0</v>
      </c>
      <c r="K11" s="16">
        <f t="shared" si="3"/>
        <v>0</v>
      </c>
      <c r="L11" s="16">
        <f t="shared" si="3"/>
        <v>0</v>
      </c>
      <c r="M11" s="16">
        <f t="shared" si="3"/>
        <v>0</v>
      </c>
      <c r="N11" s="16">
        <f t="shared" si="1"/>
        <v>0</v>
      </c>
    </row>
    <row r="12" spans="1:14" x14ac:dyDescent="0.3">
      <c r="A12" s="27" t="s">
        <v>91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3">
        <f t="shared" si="1"/>
        <v>0</v>
      </c>
    </row>
    <row r="13" spans="1:14" x14ac:dyDescent="0.3">
      <c r="A13" s="6" t="e">
        <f>Lucro Bruto</f>
        <v>#NAME?</v>
      </c>
      <c r="B13" s="16">
        <f t="shared" ref="B13:M13" si="4">B11-B12</f>
        <v>0</v>
      </c>
      <c r="C13" s="16">
        <f t="shared" si="4"/>
        <v>0</v>
      </c>
      <c r="D13" s="16">
        <f t="shared" si="4"/>
        <v>0</v>
      </c>
      <c r="E13" s="16">
        <f t="shared" si="4"/>
        <v>0</v>
      </c>
      <c r="F13" s="16">
        <f t="shared" si="4"/>
        <v>0</v>
      </c>
      <c r="G13" s="16">
        <f t="shared" si="4"/>
        <v>0</v>
      </c>
      <c r="H13" s="16">
        <f t="shared" si="4"/>
        <v>0</v>
      </c>
      <c r="I13" s="16">
        <f t="shared" si="4"/>
        <v>0</v>
      </c>
      <c r="J13" s="16">
        <f t="shared" si="4"/>
        <v>0</v>
      </c>
      <c r="K13" s="16">
        <f t="shared" si="4"/>
        <v>0</v>
      </c>
      <c r="L13" s="16">
        <f t="shared" si="4"/>
        <v>0</v>
      </c>
      <c r="M13" s="16">
        <f t="shared" si="4"/>
        <v>0</v>
      </c>
      <c r="N13" s="16">
        <f t="shared" si="1"/>
        <v>0</v>
      </c>
    </row>
    <row r="14" spans="1:14" x14ac:dyDescent="0.3">
      <c r="A14" s="27" t="s">
        <v>92</v>
      </c>
      <c r="B14" s="30">
        <f t="shared" ref="B14:N14" si="5">IFERROR(B13/B11,0)</f>
        <v>0</v>
      </c>
      <c r="C14" s="30">
        <f t="shared" si="5"/>
        <v>0</v>
      </c>
      <c r="D14" s="30">
        <f t="shared" si="5"/>
        <v>0</v>
      </c>
      <c r="E14" s="30">
        <f t="shared" si="5"/>
        <v>0</v>
      </c>
      <c r="F14" s="30">
        <f t="shared" si="5"/>
        <v>0</v>
      </c>
      <c r="G14" s="30">
        <f t="shared" si="5"/>
        <v>0</v>
      </c>
      <c r="H14" s="30">
        <f t="shared" si="5"/>
        <v>0</v>
      </c>
      <c r="I14" s="30">
        <f t="shared" si="5"/>
        <v>0</v>
      </c>
      <c r="J14" s="30">
        <f t="shared" si="5"/>
        <v>0</v>
      </c>
      <c r="K14" s="30">
        <f t="shared" si="5"/>
        <v>0</v>
      </c>
      <c r="L14" s="30">
        <f t="shared" si="5"/>
        <v>0</v>
      </c>
      <c r="M14" s="30">
        <f t="shared" si="5"/>
        <v>0</v>
      </c>
      <c r="N14" s="30">
        <f t="shared" si="5"/>
        <v>0</v>
      </c>
    </row>
    <row r="16" spans="1:14" x14ac:dyDescent="0.3">
      <c r="A16" s="25" t="s">
        <v>93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4" x14ac:dyDescent="0.3">
      <c r="A17" s="27" t="s">
        <v>94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>
        <f t="shared" ref="N17:N24" si="6">SUM(B17:M17)</f>
        <v>0</v>
      </c>
    </row>
    <row r="18" spans="1:14" x14ac:dyDescent="0.3">
      <c r="A18" s="27" t="s">
        <v>95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>
        <f t="shared" si="6"/>
        <v>0</v>
      </c>
    </row>
    <row r="19" spans="1:14" x14ac:dyDescent="0.3">
      <c r="A19" s="27" t="s">
        <v>96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>
        <f t="shared" si="6"/>
        <v>0</v>
      </c>
    </row>
    <row r="20" spans="1:14" x14ac:dyDescent="0.3">
      <c r="A20" s="27" t="s">
        <v>97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>
        <f t="shared" si="6"/>
        <v>0</v>
      </c>
    </row>
    <row r="21" spans="1:14" x14ac:dyDescent="0.3">
      <c r="A21" s="27" t="s">
        <v>98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>
        <f t="shared" si="6"/>
        <v>0</v>
      </c>
    </row>
    <row r="22" spans="1:14" x14ac:dyDescent="0.3">
      <c r="A22" s="27" t="s">
        <v>99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>
        <f t="shared" si="6"/>
        <v>0</v>
      </c>
    </row>
    <row r="23" spans="1:14" x14ac:dyDescent="0.3">
      <c r="A23" s="6" t="s">
        <v>100</v>
      </c>
      <c r="B23" s="16">
        <f t="shared" ref="B23:M23" si="7">SUM(B17:B22)</f>
        <v>0</v>
      </c>
      <c r="C23" s="16">
        <f t="shared" si="7"/>
        <v>0</v>
      </c>
      <c r="D23" s="16">
        <f t="shared" si="7"/>
        <v>0</v>
      </c>
      <c r="E23" s="16">
        <f t="shared" si="7"/>
        <v>0</v>
      </c>
      <c r="F23" s="16">
        <f t="shared" si="7"/>
        <v>0</v>
      </c>
      <c r="G23" s="16">
        <f t="shared" si="7"/>
        <v>0</v>
      </c>
      <c r="H23" s="16">
        <f t="shared" si="7"/>
        <v>0</v>
      </c>
      <c r="I23" s="16">
        <f t="shared" si="7"/>
        <v>0</v>
      </c>
      <c r="J23" s="16">
        <f t="shared" si="7"/>
        <v>0</v>
      </c>
      <c r="K23" s="16">
        <f t="shared" si="7"/>
        <v>0</v>
      </c>
      <c r="L23" s="16">
        <f t="shared" si="7"/>
        <v>0</v>
      </c>
      <c r="M23" s="16">
        <f t="shared" si="7"/>
        <v>0</v>
      </c>
      <c r="N23" s="16">
        <f t="shared" si="6"/>
        <v>0</v>
      </c>
    </row>
    <row r="24" spans="1:14" x14ac:dyDescent="0.3">
      <c r="A24" s="6" t="e">
        <f>Resultado Operacional (EBITDA)</f>
        <v>#NAME?</v>
      </c>
      <c r="B24" s="16">
        <f t="shared" ref="B24:M24" si="8">B13-B23</f>
        <v>0</v>
      </c>
      <c r="C24" s="16">
        <f t="shared" si="8"/>
        <v>0</v>
      </c>
      <c r="D24" s="16">
        <f t="shared" si="8"/>
        <v>0</v>
      </c>
      <c r="E24" s="16">
        <f t="shared" si="8"/>
        <v>0</v>
      </c>
      <c r="F24" s="16">
        <f t="shared" si="8"/>
        <v>0</v>
      </c>
      <c r="G24" s="16">
        <f t="shared" si="8"/>
        <v>0</v>
      </c>
      <c r="H24" s="16">
        <f t="shared" si="8"/>
        <v>0</v>
      </c>
      <c r="I24" s="16">
        <f t="shared" si="8"/>
        <v>0</v>
      </c>
      <c r="J24" s="16">
        <f t="shared" si="8"/>
        <v>0</v>
      </c>
      <c r="K24" s="16">
        <f t="shared" si="8"/>
        <v>0</v>
      </c>
      <c r="L24" s="16">
        <f t="shared" si="8"/>
        <v>0</v>
      </c>
      <c r="M24" s="16">
        <f t="shared" si="8"/>
        <v>0</v>
      </c>
      <c r="N24" s="16">
        <f t="shared" si="6"/>
        <v>0</v>
      </c>
    </row>
    <row r="25" spans="1:14" x14ac:dyDescent="0.3">
      <c r="A25" s="27" t="s">
        <v>101</v>
      </c>
      <c r="B25" s="30">
        <f t="shared" ref="B25:N25" si="9">IFERROR(B24/B11,0)</f>
        <v>0</v>
      </c>
      <c r="C25" s="30">
        <f t="shared" si="9"/>
        <v>0</v>
      </c>
      <c r="D25" s="30">
        <f t="shared" si="9"/>
        <v>0</v>
      </c>
      <c r="E25" s="30">
        <f t="shared" si="9"/>
        <v>0</v>
      </c>
      <c r="F25" s="30">
        <f t="shared" si="9"/>
        <v>0</v>
      </c>
      <c r="G25" s="30">
        <f t="shared" si="9"/>
        <v>0</v>
      </c>
      <c r="H25" s="30">
        <f t="shared" si="9"/>
        <v>0</v>
      </c>
      <c r="I25" s="30">
        <f t="shared" si="9"/>
        <v>0</v>
      </c>
      <c r="J25" s="30">
        <f t="shared" si="9"/>
        <v>0</v>
      </c>
      <c r="K25" s="30">
        <f t="shared" si="9"/>
        <v>0</v>
      </c>
      <c r="L25" s="30">
        <f t="shared" si="9"/>
        <v>0</v>
      </c>
      <c r="M25" s="30">
        <f t="shared" si="9"/>
        <v>0</v>
      </c>
      <c r="N25" s="30">
        <f t="shared" si="9"/>
        <v>0</v>
      </c>
    </row>
    <row r="27" spans="1:14" x14ac:dyDescent="0.3">
      <c r="A27" s="27" t="s">
        <v>102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>
        <f>SUM(B27:M27)</f>
        <v>0</v>
      </c>
    </row>
    <row r="28" spans="1:14" x14ac:dyDescent="0.3">
      <c r="A28" s="27" t="s">
        <v>103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>
        <f>SUM(B28:M28)</f>
        <v>0</v>
      </c>
    </row>
    <row r="29" spans="1:14" x14ac:dyDescent="0.3">
      <c r="A29" s="6" t="e">
        <f>Resultado Líquido do Período</f>
        <v>#NAME?</v>
      </c>
      <c r="B29" s="16">
        <f t="shared" ref="B29:M29" si="10">B24-B27+B28</f>
        <v>0</v>
      </c>
      <c r="C29" s="16">
        <f t="shared" si="10"/>
        <v>0</v>
      </c>
      <c r="D29" s="16">
        <f t="shared" si="10"/>
        <v>0</v>
      </c>
      <c r="E29" s="16">
        <f t="shared" si="10"/>
        <v>0</v>
      </c>
      <c r="F29" s="16">
        <f t="shared" si="10"/>
        <v>0</v>
      </c>
      <c r="G29" s="16">
        <f t="shared" si="10"/>
        <v>0</v>
      </c>
      <c r="H29" s="16">
        <f t="shared" si="10"/>
        <v>0</v>
      </c>
      <c r="I29" s="16">
        <f t="shared" si="10"/>
        <v>0</v>
      </c>
      <c r="J29" s="16">
        <f t="shared" si="10"/>
        <v>0</v>
      </c>
      <c r="K29" s="16">
        <f t="shared" si="10"/>
        <v>0</v>
      </c>
      <c r="L29" s="16">
        <f t="shared" si="10"/>
        <v>0</v>
      </c>
      <c r="M29" s="16">
        <f t="shared" si="10"/>
        <v>0</v>
      </c>
      <c r="N29" s="16">
        <f>SUM(B29:M29)</f>
        <v>0</v>
      </c>
    </row>
    <row r="30" spans="1:14" x14ac:dyDescent="0.3">
      <c r="A30" s="27" t="s">
        <v>104</v>
      </c>
      <c r="B30" s="30">
        <f t="shared" ref="B30:N30" si="11">IFERROR(B29/B11,0)</f>
        <v>0</v>
      </c>
      <c r="C30" s="30">
        <f t="shared" si="11"/>
        <v>0</v>
      </c>
      <c r="D30" s="30">
        <f t="shared" si="11"/>
        <v>0</v>
      </c>
      <c r="E30" s="30">
        <f t="shared" si="11"/>
        <v>0</v>
      </c>
      <c r="F30" s="30">
        <f t="shared" si="11"/>
        <v>0</v>
      </c>
      <c r="G30" s="30">
        <f t="shared" si="11"/>
        <v>0</v>
      </c>
      <c r="H30" s="30">
        <f t="shared" si="11"/>
        <v>0</v>
      </c>
      <c r="I30" s="30">
        <f t="shared" si="11"/>
        <v>0</v>
      </c>
      <c r="J30" s="30">
        <f t="shared" si="11"/>
        <v>0</v>
      </c>
      <c r="K30" s="30">
        <f t="shared" si="11"/>
        <v>0</v>
      </c>
      <c r="L30" s="30">
        <f t="shared" si="11"/>
        <v>0</v>
      </c>
      <c r="M30" s="30">
        <f t="shared" si="11"/>
        <v>0</v>
      </c>
      <c r="N30" s="30">
        <f t="shared" si="11"/>
        <v>0</v>
      </c>
    </row>
    <row r="32" spans="1:14" x14ac:dyDescent="0.3">
      <c r="A32" s="25" t="s">
        <v>105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x14ac:dyDescent="0.3">
      <c r="A33" s="27" t="s">
        <v>106</v>
      </c>
      <c r="B33" s="13">
        <f t="shared" ref="B33:N33" si="12">IFERROR(B23/B14,0)</f>
        <v>0</v>
      </c>
      <c r="C33" s="13">
        <f t="shared" si="12"/>
        <v>0</v>
      </c>
      <c r="D33" s="13">
        <f t="shared" si="12"/>
        <v>0</v>
      </c>
      <c r="E33" s="13">
        <f t="shared" si="12"/>
        <v>0</v>
      </c>
      <c r="F33" s="13">
        <f t="shared" si="12"/>
        <v>0</v>
      </c>
      <c r="G33" s="13">
        <f t="shared" si="12"/>
        <v>0</v>
      </c>
      <c r="H33" s="13">
        <f t="shared" si="12"/>
        <v>0</v>
      </c>
      <c r="I33" s="13">
        <f t="shared" si="12"/>
        <v>0</v>
      </c>
      <c r="J33" s="13">
        <f t="shared" si="12"/>
        <v>0</v>
      </c>
      <c r="K33" s="13">
        <f t="shared" si="12"/>
        <v>0</v>
      </c>
      <c r="L33" s="13">
        <f t="shared" si="12"/>
        <v>0</v>
      </c>
      <c r="M33" s="13">
        <f t="shared" si="12"/>
        <v>0</v>
      </c>
      <c r="N33" s="13">
        <f t="shared" si="12"/>
        <v>0</v>
      </c>
    </row>
    <row r="34" spans="1:14" x14ac:dyDescent="0.3">
      <c r="A34" s="27" t="s">
        <v>107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2">
        <f>SUM(B34:M34)</f>
        <v>0</v>
      </c>
    </row>
    <row r="35" spans="1:14" x14ac:dyDescent="0.3">
      <c r="A35" s="27" t="s">
        <v>108</v>
      </c>
      <c r="B35" s="13">
        <f t="shared" ref="B35:N35" si="13">IFERROR(B8/B34,0)</f>
        <v>0</v>
      </c>
      <c r="C35" s="13">
        <f t="shared" si="13"/>
        <v>0</v>
      </c>
      <c r="D35" s="13">
        <f t="shared" si="13"/>
        <v>0</v>
      </c>
      <c r="E35" s="13">
        <f t="shared" si="13"/>
        <v>0</v>
      </c>
      <c r="F35" s="13">
        <f t="shared" si="13"/>
        <v>0</v>
      </c>
      <c r="G35" s="13">
        <f t="shared" si="13"/>
        <v>0</v>
      </c>
      <c r="H35" s="13">
        <f t="shared" si="13"/>
        <v>0</v>
      </c>
      <c r="I35" s="13">
        <f t="shared" si="13"/>
        <v>0</v>
      </c>
      <c r="J35" s="13">
        <f t="shared" si="13"/>
        <v>0</v>
      </c>
      <c r="K35" s="13">
        <f t="shared" si="13"/>
        <v>0</v>
      </c>
      <c r="L35" s="13">
        <f t="shared" si="13"/>
        <v>0</v>
      </c>
      <c r="M35" s="13">
        <f t="shared" si="13"/>
        <v>0</v>
      </c>
      <c r="N35" s="13">
        <f t="shared" si="13"/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Movimento_Caixa_Diario</vt:lpstr>
      <vt:lpstr>Contas_a_Pagar</vt:lpstr>
      <vt:lpstr>Contas_a_Receber</vt:lpstr>
      <vt:lpstr>Fluxo_Caixa_Projetado</vt:lpstr>
      <vt:lpstr>DRE_Gerencial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2026-08-20T14:14:46Z</dcterms:created>
  <dcterms:modified xsi:type="dcterms:W3CDTF">2026-08-20T14:34:22Z</dcterms:modified>
</cp:coreProperties>
</file>